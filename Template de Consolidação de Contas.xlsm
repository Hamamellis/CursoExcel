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Programa Excel_Games\"/>
    </mc:Choice>
  </mc:AlternateContent>
  <xr:revisionPtr revIDLastSave="0" documentId="13_ncr:1_{01580EB2-91C4-4F4B-9E08-930D5C27C528}" xr6:coauthVersionLast="46" xr6:coauthVersionMax="46" xr10:uidLastSave="{00000000-0000-0000-0000-000000000000}"/>
  <bookViews>
    <workbookView xWindow="-120" yWindow="-120" windowWidth="20730" windowHeight="11160" activeTab="3" xr2:uid="{00000000-000D-0000-FFFF-FFFF00000000}"/>
  </bookViews>
  <sheets>
    <sheet name="Banco itaú" sheetId="2" r:id="rId1"/>
    <sheet name="Banco Caixa Econômica" sheetId="4" r:id="rId2"/>
    <sheet name="Banco do Brasil" sheetId="3" r:id="rId3"/>
    <sheet name="Consolidação de Contas" sheetId="1" r:id="rId4"/>
  </sheets>
  <functionGroups builtInGroupCount="19"/>
  <definedNames>
    <definedName name="_xlnm._FilterDatabase" localSheetId="2" hidden="1">'Banco do Brasil'!$A$1:$H$150</definedName>
    <definedName name="_xlnm._FilterDatabase" localSheetId="0" hidden="1">'Banco itaú'!$A$1:$H$39</definedName>
    <definedName name="_xlnm._FilterDatabase" localSheetId="3" hidden="1">'Consolidação de Contas'!$A$2:$H$200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4" i="1" l="1"/>
  <c r="H34" i="1" s="1"/>
  <c r="G29" i="1"/>
  <c r="H3" i="1" l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H2" i="4" l="1"/>
  <c r="G3" i="4" s="1"/>
  <c r="H3" i="4" s="1"/>
  <c r="G4" i="4" s="1"/>
  <c r="H4" i="4" s="1"/>
  <c r="G5" i="4" s="1"/>
  <c r="H5" i="4" s="1"/>
  <c r="G6" i="4" s="1"/>
  <c r="H6" i="4" s="1"/>
  <c r="G7" i="4" s="1"/>
  <c r="H7" i="4" s="1"/>
  <c r="G8" i="4" s="1"/>
  <c r="H8" i="4" s="1"/>
  <c r="G9" i="4" s="1"/>
  <c r="H9" i="4" s="1"/>
  <c r="G10" i="4" s="1"/>
  <c r="H10" i="4" s="1"/>
  <c r="G11" i="4" s="1"/>
  <c r="H11" i="4" s="1"/>
  <c r="G12" i="4" s="1"/>
  <c r="H12" i="4" s="1"/>
  <c r="G13" i="4" s="1"/>
  <c r="H13" i="4" s="1"/>
  <c r="G14" i="4" s="1"/>
  <c r="H14" i="4" s="1"/>
  <c r="G15" i="4" s="1"/>
  <c r="H15" i="4" s="1"/>
  <c r="G16" i="4" s="1"/>
  <c r="H16" i="4" s="1"/>
  <c r="G17" i="4" s="1"/>
  <c r="H17" i="4" s="1"/>
  <c r="G18" i="4" s="1"/>
  <c r="H18" i="4" s="1"/>
  <c r="G19" i="4" s="1"/>
  <c r="H19" i="4" s="1"/>
  <c r="G20" i="4" s="1"/>
  <c r="H20" i="4" s="1"/>
  <c r="G21" i="4" s="1"/>
  <c r="H21" i="4" s="1"/>
  <c r="G22" i="4" s="1"/>
  <c r="H22" i="4" s="1"/>
  <c r="G23" i="4" s="1"/>
  <c r="H23" i="4" s="1"/>
  <c r="G24" i="4" s="1"/>
  <c r="H24" i="4" s="1"/>
  <c r="G25" i="4" s="1"/>
  <c r="H25" i="4" s="1"/>
  <c r="G26" i="4" s="1"/>
  <c r="H26" i="4" s="1"/>
  <c r="G27" i="4" s="1"/>
  <c r="H27" i="4" s="1"/>
  <c r="G28" i="4" s="1"/>
  <c r="H28" i="4" s="1"/>
  <c r="G29" i="4" s="1"/>
  <c r="H29" i="4" s="1"/>
  <c r="G30" i="4" s="1"/>
  <c r="H30" i="4" s="1"/>
  <c r="G31" i="4" s="1"/>
  <c r="H31" i="4" s="1"/>
  <c r="G32" i="4" s="1"/>
  <c r="H32" i="4" s="1"/>
  <c r="G33" i="4" s="1"/>
  <c r="H33" i="4" s="1"/>
  <c r="G34" i="4" s="1"/>
  <c r="H34" i="4" s="1"/>
  <c r="G35" i="4" s="1"/>
  <c r="H35" i="4" s="1"/>
  <c r="G36" i="4" s="1"/>
  <c r="H36" i="4" s="1"/>
  <c r="G37" i="4" s="1"/>
  <c r="H37" i="4" s="1"/>
  <c r="G38" i="4" s="1"/>
  <c r="H38" i="4" s="1"/>
  <c r="G39" i="4" s="1"/>
  <c r="H39" i="4" s="1"/>
  <c r="H2" i="3" l="1"/>
  <c r="G3" i="3" s="1"/>
  <c r="H3" i="3" s="1"/>
  <c r="G4" i="3" s="1"/>
  <c r="H4" i="3" s="1"/>
  <c r="G5" i="3" s="1"/>
  <c r="H2" i="2"/>
  <c r="G3" i="2" s="1"/>
  <c r="H3" i="2" s="1"/>
  <c r="G4" i="2" s="1"/>
  <c r="H4" i="2" s="1"/>
  <c r="G5" i="2" s="1"/>
  <c r="H5" i="2" s="1"/>
  <c r="G6" i="2" s="1"/>
  <c r="H6" i="2" s="1"/>
  <c r="G7" i="2" s="1"/>
  <c r="H7" i="2" s="1"/>
  <c r="H5" i="3" l="1"/>
  <c r="G6" i="3" s="1"/>
  <c r="H6" i="3" l="1"/>
  <c r="G7" i="3" s="1"/>
  <c r="H7" i="3" l="1"/>
  <c r="G8" i="3" s="1"/>
  <c r="H8" i="3" l="1"/>
  <c r="G4" i="1" l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H29" i="1" s="1"/>
  <c r="G30" i="1" s="1"/>
  <c r="H30" i="1" s="1"/>
  <c r="G31" i="1" s="1"/>
  <c r="H31" i="1" s="1"/>
  <c r="G32" i="1" s="1"/>
  <c r="H32" i="1" s="1"/>
  <c r="G33" i="1" s="1"/>
  <c r="H33" i="1" s="1"/>
  <c r="G35" i="1" s="1"/>
  <c r="H35" i="1" s="1"/>
  <c r="G36" i="1" s="1"/>
  <c r="H36" i="1" s="1"/>
  <c r="G37" i="1" s="1"/>
  <c r="H37" i="1" s="1"/>
  <c r="G38" i="1" s="1"/>
  <c r="H38" i="1" s="1"/>
  <c r="G39" i="1" s="1"/>
  <c r="H39" i="1" s="1"/>
  <c r="G40" i="1" s="1"/>
  <c r="H40" i="1" s="1"/>
  <c r="G41" i="1" s="1"/>
  <c r="H41" i="1" s="1"/>
  <c r="G42" i="1" s="1"/>
  <c r="H42" i="1" s="1"/>
  <c r="G43" i="1" s="1"/>
  <c r="H43" i="1" s="1"/>
  <c r="G44" i="1" s="1"/>
  <c r="H44" i="1" s="1"/>
  <c r="G45" i="1" s="1"/>
  <c r="H45" i="1" s="1"/>
  <c r="G46" i="1" s="1"/>
  <c r="H46" i="1" s="1"/>
  <c r="G47" i="1" s="1"/>
  <c r="H47" i="1" s="1"/>
  <c r="G48" i="1" s="1"/>
  <c r="H48" i="1" s="1"/>
  <c r="G49" i="1" s="1"/>
  <c r="H49" i="1" s="1"/>
  <c r="G50" i="1" s="1"/>
  <c r="H50" i="1" s="1"/>
  <c r="G51" i="1" s="1"/>
  <c r="H51" i="1" s="1"/>
  <c r="G52" i="1" s="1"/>
  <c r="H52" i="1" s="1"/>
  <c r="G53" i="1" s="1"/>
  <c r="H53" i="1" s="1"/>
  <c r="G54" i="1" s="1"/>
  <c r="H54" i="1" s="1"/>
  <c r="G55" i="1" s="1"/>
  <c r="H55" i="1" s="1"/>
  <c r="G56" i="1" s="1"/>
  <c r="H56" i="1" s="1"/>
  <c r="G57" i="1" s="1"/>
  <c r="H57" i="1" s="1"/>
  <c r="G58" i="1" s="1"/>
  <c r="H58" i="1" s="1"/>
  <c r="G59" i="1" s="1"/>
  <c r="H59" i="1" s="1"/>
  <c r="G60" i="1" s="1"/>
  <c r="H60" i="1" s="1"/>
  <c r="G61" i="1" s="1"/>
  <c r="H61" i="1" s="1"/>
  <c r="G62" i="1" s="1"/>
  <c r="H62" i="1" s="1"/>
  <c r="G63" i="1" s="1"/>
  <c r="H63" i="1" s="1"/>
  <c r="G64" i="1" s="1"/>
  <c r="H64" i="1" s="1"/>
  <c r="G65" i="1" s="1"/>
  <c r="H65" i="1" s="1"/>
  <c r="G66" i="1" s="1"/>
  <c r="H66" i="1" s="1"/>
  <c r="G67" i="1" s="1"/>
  <c r="H67" i="1" s="1"/>
  <c r="G68" i="1" s="1"/>
  <c r="H68" i="1" s="1"/>
  <c r="G69" i="1" s="1"/>
  <c r="H69" i="1" s="1"/>
  <c r="G70" i="1" s="1"/>
  <c r="H70" i="1" s="1"/>
  <c r="G71" i="1" s="1"/>
  <c r="H71" i="1" s="1"/>
  <c r="G72" i="1" s="1"/>
  <c r="H72" i="1" s="1"/>
  <c r="G73" i="1" s="1"/>
  <c r="H73" i="1" s="1"/>
  <c r="G74" i="1" s="1"/>
  <c r="H74" i="1" s="1"/>
  <c r="G75" i="1" s="1"/>
  <c r="H75" i="1" s="1"/>
  <c r="G76" i="1" s="1"/>
  <c r="H76" i="1" s="1"/>
  <c r="G77" i="1" s="1"/>
  <c r="H77" i="1" s="1"/>
  <c r="K2" i="1" l="1"/>
  <c r="G9" i="3"/>
  <c r="H9" i="3" s="1"/>
  <c r="G10" i="3" s="1"/>
  <c r="H10" i="3" s="1"/>
  <c r="G11" i="3" s="1"/>
  <c r="H11" i="3" s="1"/>
  <c r="G12" i="3" s="1"/>
  <c r="H12" i="3" s="1"/>
  <c r="G13" i="3" s="1"/>
  <c r="H13" i="3" s="1"/>
  <c r="G14" i="3" s="1"/>
  <c r="H14" i="3" s="1"/>
  <c r="G15" i="3" s="1"/>
  <c r="H15" i="3" s="1"/>
  <c r="G16" i="3" s="1"/>
  <c r="H16" i="3" s="1"/>
  <c r="G17" i="3" s="1"/>
  <c r="H17" i="3" s="1"/>
  <c r="G18" i="3" s="1"/>
  <c r="H18" i="3" s="1"/>
  <c r="G19" i="3" s="1"/>
  <c r="H19" i="3" s="1"/>
  <c r="G20" i="3" s="1"/>
  <c r="H20" i="3" s="1"/>
  <c r="G21" i="3" s="1"/>
  <c r="H21" i="3" s="1"/>
  <c r="G22" i="3" s="1"/>
  <c r="H22" i="3" s="1"/>
  <c r="G23" i="3" s="1"/>
  <c r="H23" i="3" s="1"/>
  <c r="G24" i="3" s="1"/>
  <c r="H24" i="3" s="1"/>
  <c r="G25" i="3" s="1"/>
  <c r="H25" i="3" s="1"/>
  <c r="G26" i="3" s="1"/>
  <c r="H26" i="3" s="1"/>
  <c r="G27" i="3" s="1"/>
  <c r="H27" i="3" s="1"/>
  <c r="G28" i="3" s="1"/>
  <c r="H28" i="3" s="1"/>
  <c r="G29" i="3" s="1"/>
  <c r="H29" i="3" s="1"/>
  <c r="G30" i="3" s="1"/>
  <c r="H30" i="3" s="1"/>
  <c r="G31" i="3" s="1"/>
  <c r="H31" i="3" s="1"/>
  <c r="G32" i="3" s="1"/>
  <c r="H32" i="3" s="1"/>
  <c r="G33" i="3" s="1"/>
  <c r="H33" i="3" s="1"/>
  <c r="G34" i="3" s="1"/>
  <c r="H34" i="3" s="1"/>
  <c r="G35" i="3" s="1"/>
  <c r="H35" i="3" s="1"/>
  <c r="G36" i="3" s="1"/>
  <c r="H36" i="3" s="1"/>
  <c r="G37" i="3" s="1"/>
  <c r="H37" i="3" s="1"/>
  <c r="G38" i="3" s="1"/>
  <c r="H38" i="3" s="1"/>
  <c r="G39" i="3" s="1"/>
  <c r="H39" i="3" s="1"/>
  <c r="G40" i="3" s="1"/>
  <c r="H40" i="3" s="1"/>
  <c r="G41" i="3" s="1"/>
  <c r="H41" i="3" s="1"/>
  <c r="G42" i="3" s="1"/>
  <c r="H42" i="3" s="1"/>
  <c r="G43" i="3" s="1"/>
  <c r="H43" i="3" s="1"/>
  <c r="G44" i="3" s="1"/>
  <c r="H44" i="3" s="1"/>
  <c r="G45" i="3" s="1"/>
  <c r="H45" i="3" s="1"/>
  <c r="G46" i="3" s="1"/>
  <c r="H46" i="3" s="1"/>
  <c r="G47" i="3" s="1"/>
  <c r="H47" i="3" s="1"/>
  <c r="G48" i="3" s="1"/>
  <c r="H48" i="3" s="1"/>
  <c r="G49" i="3" s="1"/>
  <c r="H49" i="3" s="1"/>
  <c r="G50" i="3" s="1"/>
  <c r="H50" i="3" s="1"/>
  <c r="G51" i="3" s="1"/>
  <c r="H51" i="3" s="1"/>
  <c r="G52" i="3" s="1"/>
  <c r="H52" i="3" s="1"/>
  <c r="G53" i="3" s="1"/>
  <c r="H53" i="3" s="1"/>
  <c r="G54" i="3" s="1"/>
  <c r="H54" i="3" s="1"/>
  <c r="G55" i="3" s="1"/>
  <c r="H55" i="3" s="1"/>
  <c r="G56" i="3" s="1"/>
  <c r="H56" i="3" s="1"/>
  <c r="G57" i="3" s="1"/>
  <c r="H57" i="3" s="1"/>
  <c r="G58" i="3" s="1"/>
  <c r="H58" i="3" s="1"/>
  <c r="G59" i="3" s="1"/>
  <c r="H59" i="3" s="1"/>
  <c r="G60" i="3" s="1"/>
  <c r="H60" i="3" s="1"/>
  <c r="G61" i="3" s="1"/>
  <c r="H61" i="3" s="1"/>
  <c r="G62" i="3" s="1"/>
  <c r="H62" i="3" s="1"/>
  <c r="G63" i="3" s="1"/>
  <c r="H63" i="3" s="1"/>
  <c r="G64" i="3" s="1"/>
  <c r="H64" i="3" s="1"/>
  <c r="G65" i="3" s="1"/>
  <c r="H65" i="3" s="1"/>
  <c r="G66" i="3" s="1"/>
  <c r="H66" i="3" s="1"/>
  <c r="G67" i="3" s="1"/>
  <c r="H67" i="3" s="1"/>
  <c r="G68" i="3" s="1"/>
  <c r="H68" i="3" s="1"/>
  <c r="G69" i="3" s="1"/>
  <c r="H69" i="3" s="1"/>
  <c r="G70" i="3" s="1"/>
  <c r="H70" i="3" s="1"/>
  <c r="G71" i="3" s="1"/>
  <c r="H71" i="3" s="1"/>
  <c r="G72" i="3" s="1"/>
  <c r="H72" i="3" s="1"/>
  <c r="G73" i="3" s="1"/>
  <c r="H73" i="3" s="1"/>
  <c r="G74" i="3" s="1"/>
  <c r="H74" i="3" s="1"/>
  <c r="G75" i="3" s="1"/>
  <c r="H75" i="3" s="1"/>
  <c r="G76" i="3" s="1"/>
  <c r="H76" i="3" s="1"/>
  <c r="G77" i="3" s="1"/>
  <c r="H77" i="3" s="1"/>
  <c r="G78" i="3" s="1"/>
  <c r="H78" i="3" s="1"/>
  <c r="G79" i="3" s="1"/>
  <c r="H79" i="3" s="1"/>
  <c r="G80" i="3" s="1"/>
  <c r="H80" i="3" s="1"/>
  <c r="G81" i="3" s="1"/>
  <c r="H81" i="3" s="1"/>
  <c r="G82" i="3" s="1"/>
  <c r="H82" i="3" s="1"/>
  <c r="G83" i="3" s="1"/>
  <c r="H83" i="3" s="1"/>
  <c r="G84" i="3" s="1"/>
  <c r="H84" i="3" s="1"/>
  <c r="G85" i="3" s="1"/>
  <c r="H85" i="3" s="1"/>
  <c r="G86" i="3" s="1"/>
  <c r="H86" i="3" s="1"/>
  <c r="G87" i="3" s="1"/>
  <c r="H87" i="3" s="1"/>
  <c r="G88" i="3" s="1"/>
  <c r="H88" i="3" s="1"/>
  <c r="G89" i="3" s="1"/>
  <c r="H89" i="3" s="1"/>
  <c r="G90" i="3" s="1"/>
  <c r="H90" i="3" s="1"/>
  <c r="G91" i="3" s="1"/>
  <c r="H91" i="3" s="1"/>
  <c r="G92" i="3" s="1"/>
  <c r="H92" i="3" s="1"/>
  <c r="G93" i="3" s="1"/>
  <c r="H93" i="3" s="1"/>
  <c r="G94" i="3" s="1"/>
  <c r="H94" i="3" s="1"/>
  <c r="G95" i="3" s="1"/>
  <c r="H95" i="3" s="1"/>
  <c r="G96" i="3" s="1"/>
  <c r="H96" i="3" s="1"/>
  <c r="G97" i="3" s="1"/>
  <c r="H97" i="3" s="1"/>
  <c r="G98" i="3" s="1"/>
  <c r="H98" i="3" s="1"/>
  <c r="G99" i="3" s="1"/>
  <c r="H99" i="3" s="1"/>
  <c r="G100" i="3" s="1"/>
  <c r="H100" i="3" s="1"/>
  <c r="G101" i="3" s="1"/>
  <c r="H101" i="3" s="1"/>
  <c r="G102" i="3" s="1"/>
  <c r="H102" i="3" s="1"/>
  <c r="G103" i="3" s="1"/>
  <c r="H103" i="3" s="1"/>
  <c r="G104" i="3" s="1"/>
  <c r="H104" i="3" s="1"/>
  <c r="G105" i="3" s="1"/>
  <c r="H105" i="3" s="1"/>
  <c r="G106" i="3" s="1"/>
  <c r="H106" i="3" s="1"/>
  <c r="G107" i="3" s="1"/>
  <c r="H107" i="3" s="1"/>
  <c r="G108" i="3" s="1"/>
  <c r="H108" i="3" s="1"/>
  <c r="G109" i="3" s="1"/>
  <c r="H109" i="3" s="1"/>
  <c r="G110" i="3" s="1"/>
  <c r="H110" i="3" s="1"/>
  <c r="G111" i="3" s="1"/>
  <c r="H111" i="3" s="1"/>
  <c r="G112" i="3" s="1"/>
  <c r="H112" i="3" s="1"/>
  <c r="G113" i="3" s="1"/>
  <c r="H113" i="3" s="1"/>
  <c r="G114" i="3" s="1"/>
  <c r="H114" i="3" s="1"/>
  <c r="G115" i="3" s="1"/>
  <c r="H115" i="3" s="1"/>
  <c r="G116" i="3" s="1"/>
  <c r="H116" i="3" s="1"/>
  <c r="G117" i="3" s="1"/>
  <c r="H117" i="3" s="1"/>
  <c r="G118" i="3" s="1"/>
  <c r="H118" i="3" s="1"/>
  <c r="G119" i="3" s="1"/>
  <c r="H119" i="3" s="1"/>
  <c r="G120" i="3" s="1"/>
  <c r="H120" i="3" s="1"/>
  <c r="G121" i="3" s="1"/>
  <c r="H121" i="3" s="1"/>
  <c r="G122" i="3" s="1"/>
  <c r="H122" i="3" s="1"/>
  <c r="G123" i="3" s="1"/>
  <c r="H123" i="3" s="1"/>
  <c r="G124" i="3" s="1"/>
  <c r="H124" i="3" s="1"/>
  <c r="G125" i="3" s="1"/>
  <c r="H125" i="3" s="1"/>
  <c r="G126" i="3" s="1"/>
  <c r="H126" i="3" s="1"/>
  <c r="G127" i="3" s="1"/>
  <c r="H127" i="3" s="1"/>
  <c r="G128" i="3" s="1"/>
  <c r="H128" i="3" s="1"/>
  <c r="G129" i="3" s="1"/>
  <c r="H129" i="3" s="1"/>
  <c r="G130" i="3" s="1"/>
  <c r="H130" i="3" s="1"/>
  <c r="G131" i="3" s="1"/>
  <c r="H131" i="3" s="1"/>
  <c r="G132" i="3" s="1"/>
  <c r="H132" i="3" s="1"/>
  <c r="G133" i="3" s="1"/>
  <c r="H133" i="3" s="1"/>
  <c r="G134" i="3" s="1"/>
  <c r="H134" i="3" s="1"/>
  <c r="G135" i="3" s="1"/>
  <c r="H135" i="3" s="1"/>
  <c r="G136" i="3" s="1"/>
  <c r="H136" i="3" s="1"/>
  <c r="G137" i="3" s="1"/>
  <c r="H137" i="3" s="1"/>
  <c r="G138" i="3" s="1"/>
  <c r="H138" i="3" s="1"/>
  <c r="G139" i="3" s="1"/>
  <c r="H139" i="3" s="1"/>
  <c r="G140" i="3" s="1"/>
  <c r="H140" i="3" s="1"/>
  <c r="G141" i="3" s="1"/>
  <c r="H141" i="3" s="1"/>
  <c r="G142" i="3" s="1"/>
  <c r="H142" i="3" s="1"/>
  <c r="G143" i="3" s="1"/>
  <c r="H143" i="3" s="1"/>
  <c r="G144" i="3" s="1"/>
  <c r="H144" i="3" s="1"/>
  <c r="G145" i="3" s="1"/>
  <c r="H145" i="3" s="1"/>
  <c r="G146" i="3" s="1"/>
  <c r="H146" i="3" s="1"/>
  <c r="G147" i="3" s="1"/>
  <c r="H147" i="3" s="1"/>
  <c r="G148" i="3" s="1"/>
  <c r="H148" i="3" s="1"/>
  <c r="G149" i="3" s="1"/>
  <c r="H149" i="3" s="1"/>
  <c r="G150" i="3" s="1"/>
  <c r="H150" i="3" s="1"/>
  <c r="G8" i="2"/>
  <c r="H8" i="2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G40" i="2" s="1"/>
  <c r="H40" i="2" s="1"/>
  <c r="G41" i="2" s="1"/>
  <c r="H41" i="2" s="1"/>
  <c r="G42" i="2" s="1"/>
  <c r="H42" i="2" s="1"/>
  <c r="G43" i="2" s="1"/>
  <c r="H43" i="2" s="1"/>
  <c r="G44" i="2" s="1"/>
  <c r="H44" i="2" s="1"/>
  <c r="G45" i="2" s="1"/>
  <c r="H45" i="2" s="1"/>
  <c r="G46" i="2" s="1"/>
  <c r="H46" i="2" s="1"/>
  <c r="G47" i="2" s="1"/>
  <c r="H47" i="2" s="1"/>
  <c r="G48" i="2" s="1"/>
  <c r="H48" i="2" s="1"/>
  <c r="G49" i="2" s="1"/>
  <c r="H49" i="2" s="1"/>
  <c r="G50" i="2" s="1"/>
  <c r="H50" i="2" s="1"/>
  <c r="G51" i="2" s="1"/>
  <c r="H51" i="2" s="1"/>
  <c r="G52" i="2" s="1"/>
  <c r="H52" i="2" s="1"/>
  <c r="G53" i="2" s="1"/>
  <c r="H53" i="2" s="1"/>
  <c r="G54" i="2" s="1"/>
  <c r="H54" i="2" s="1"/>
  <c r="G55" i="2" s="1"/>
  <c r="H55" i="2" s="1"/>
  <c r="G56" i="2" s="1"/>
  <c r="H56" i="2" s="1"/>
  <c r="G57" i="2" s="1"/>
  <c r="H57" i="2" s="1"/>
  <c r="G58" i="2" s="1"/>
  <c r="H58" i="2" s="1"/>
  <c r="G59" i="2" s="1"/>
  <c r="H59" i="2" s="1"/>
  <c r="G60" i="2" s="1"/>
  <c r="H60" i="2" s="1"/>
</calcChain>
</file>

<file path=xl/sharedStrings.xml><?xml version="1.0" encoding="utf-8"?>
<sst xmlns="http://schemas.openxmlformats.org/spreadsheetml/2006/main" count="1224" uniqueCount="204">
  <si>
    <t>Data</t>
  </si>
  <si>
    <t>Documento</t>
  </si>
  <si>
    <t>Tipo</t>
  </si>
  <si>
    <t>Valor Saída</t>
  </si>
  <si>
    <t>Saldo Anterior</t>
  </si>
  <si>
    <t>Saldo Final</t>
  </si>
  <si>
    <t>Status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</si>
  <si>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</si>
  <si>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</si>
  <si>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</si>
  <si>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</si>
  <si>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</si>
  <si>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</si>
  <si>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</si>
  <si>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</si>
  <si>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</si>
  <si>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</si>
  <si>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</si>
  <si>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</si>
  <si>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</si>
  <si>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</si>
  <si>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</si>
  <si>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</si>
  <si>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</si>
  <si>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</si>
  <si>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</si>
  <si>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</si>
  <si>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</si>
  <si>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</si>
  <si>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</si>
  <si>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</si>
  <si>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</si>
  <si>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</si>
  <si>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</si>
  <si>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</si>
  <si>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</si>
  <si>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</si>
  <si>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</si>
  <si>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</si>
  <si>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</si>
  <si>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</si>
  <si>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</si>
  <si>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</si>
  <si>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</si>
  <si>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</si>
  <si>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</si>
  <si>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</si>
  <si>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</si>
  <si>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</si>
  <si>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</si>
  <si>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</si>
  <si>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</si>
  <si>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</si>
  <si>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</si>
  <si>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</si>
  <si>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</si>
  <si>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</si>
  <si>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</si>
  <si>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Diário das Movimentações</t>
  </si>
  <si>
    <t>Observações</t>
  </si>
  <si>
    <t>Valor de Entrada</t>
  </si>
  <si>
    <t>Origem</t>
  </si>
  <si>
    <t>Numero do Documento</t>
  </si>
  <si>
    <t>VALOR ATUAL:</t>
  </si>
  <si>
    <t>S31139C2</t>
  </si>
  <si>
    <t>S31139C3</t>
  </si>
  <si>
    <t>S31139C4</t>
  </si>
  <si>
    <t>S31139C5</t>
  </si>
  <si>
    <t>S31139C6</t>
  </si>
  <si>
    <t>S31139C7</t>
  </si>
  <si>
    <t>S31139C8</t>
  </si>
  <si>
    <t>S31139C9</t>
  </si>
  <si>
    <t>S31139C10</t>
  </si>
  <si>
    <t>S31139C11</t>
  </si>
  <si>
    <t>S31139C12</t>
  </si>
  <si>
    <t>S31139C13</t>
  </si>
  <si>
    <t>S31139C14</t>
  </si>
  <si>
    <t>S31139C15</t>
  </si>
  <si>
    <t>S31139C16</t>
  </si>
  <si>
    <t>S31139C17</t>
  </si>
  <si>
    <t>S31139C18</t>
  </si>
  <si>
    <t>S31139C19</t>
  </si>
  <si>
    <t>S31139C20</t>
  </si>
  <si>
    <t>S31139C21</t>
  </si>
  <si>
    <t>S31139C22</t>
  </si>
  <si>
    <t>E31136C2</t>
  </si>
  <si>
    <t>E31137C2</t>
  </si>
  <si>
    <t>S31138C2</t>
  </si>
  <si>
    <t>E31136C3</t>
  </si>
  <si>
    <t>E31137C3</t>
  </si>
  <si>
    <t>S31138C3</t>
  </si>
  <si>
    <t>E31136C4</t>
  </si>
  <si>
    <t>E31137C4</t>
  </si>
  <si>
    <t>S31138C4</t>
  </si>
  <si>
    <t>E31136C5</t>
  </si>
  <si>
    <t>E31137C5</t>
  </si>
  <si>
    <t>S31138C5</t>
  </si>
  <si>
    <t>E31136C6</t>
  </si>
  <si>
    <t>E31137C6</t>
  </si>
  <si>
    <t>S31138C6</t>
  </si>
  <si>
    <t>E31136C7</t>
  </si>
  <si>
    <t>E31137C7</t>
  </si>
  <si>
    <t>S31138C7</t>
  </si>
  <si>
    <t>E31136C8</t>
  </si>
  <si>
    <t>E31137C8</t>
  </si>
  <si>
    <t>S31138C8</t>
  </si>
  <si>
    <t>E31136C9</t>
  </si>
  <si>
    <t>E31137C9</t>
  </si>
  <si>
    <t>S31138C9</t>
  </si>
  <si>
    <t>E31136C10</t>
  </si>
  <si>
    <t>E31137C10</t>
  </si>
  <si>
    <t>S31138C10</t>
  </si>
  <si>
    <t>E31136C11</t>
  </si>
  <si>
    <t>E31137C11</t>
  </si>
  <si>
    <t>S31138C11</t>
  </si>
  <si>
    <t>E31136C12</t>
  </si>
  <si>
    <t>E31137C12</t>
  </si>
  <si>
    <t>S31138C12</t>
  </si>
  <si>
    <t>E31136C13</t>
  </si>
  <si>
    <t>E31137C13</t>
  </si>
  <si>
    <t>S31138C13</t>
  </si>
  <si>
    <t>E31136C14</t>
  </si>
  <si>
    <t>E31137C14</t>
  </si>
  <si>
    <t>E31136C15</t>
  </si>
  <si>
    <t>E31137C15</t>
  </si>
  <si>
    <t>E31136C16</t>
  </si>
  <si>
    <t>E31137C16</t>
  </si>
  <si>
    <t>E31136C17</t>
  </si>
  <si>
    <t>E31137C17</t>
  </si>
  <si>
    <t>E31136C18</t>
  </si>
  <si>
    <t>E31137C18</t>
  </si>
  <si>
    <t>E31136C19</t>
  </si>
  <si>
    <t>E31137C19</t>
  </si>
  <si>
    <t>E31136C20</t>
  </si>
  <si>
    <t>E31137C20</t>
  </si>
  <si>
    <t>E31136C21</t>
  </si>
  <si>
    <t>E31137C21</t>
  </si>
  <si>
    <t>E31136C22</t>
  </si>
  <si>
    <t>E31137C22</t>
  </si>
  <si>
    <t>E31136C23</t>
  </si>
  <si>
    <t>E31137C23</t>
  </si>
  <si>
    <t>E31136C24</t>
  </si>
  <si>
    <t>E31137C24</t>
  </si>
  <si>
    <t>E31136C25</t>
  </si>
  <si>
    <t>E31137C25</t>
  </si>
  <si>
    <t>E31136C26</t>
  </si>
  <si>
    <t>E31137C26</t>
  </si>
  <si>
    <t>E31136C27</t>
  </si>
  <si>
    <t>E31137C27</t>
  </si>
  <si>
    <t>E31136C28</t>
  </si>
  <si>
    <t>E31137C28</t>
  </si>
  <si>
    <t>E31136C29</t>
  </si>
  <si>
    <t>E31137C29</t>
  </si>
  <si>
    <t>E31136C30</t>
  </si>
  <si>
    <t>E31137C30</t>
  </si>
  <si>
    <t>E31136C31</t>
  </si>
  <si>
    <t>E31137C31</t>
  </si>
  <si>
    <t>E31136C32</t>
  </si>
  <si>
    <t>E31137C32</t>
  </si>
  <si>
    <t>E31136C33</t>
  </si>
  <si>
    <t>E31137C33</t>
  </si>
  <si>
    <t>E31136C34</t>
  </si>
  <si>
    <t>E31137C34</t>
  </si>
  <si>
    <t>E31136C35</t>
  </si>
  <si>
    <t>E31137C35</t>
  </si>
  <si>
    <t>E31136C36</t>
  </si>
  <si>
    <t>E31137C36</t>
  </si>
  <si>
    <t>E31136C37</t>
  </si>
  <si>
    <t>E31137C37</t>
  </si>
  <si>
    <t>E31136C38</t>
  </si>
  <si>
    <t>E31137C38</t>
  </si>
  <si>
    <t>E31136C39</t>
  </si>
  <si>
    <t>E31137C39</t>
  </si>
  <si>
    <t>E31136C40</t>
  </si>
  <si>
    <t>E31137C40</t>
  </si>
  <si>
    <t>E31136C41</t>
  </si>
  <si>
    <t>E31137C41</t>
  </si>
  <si>
    <t>E31136C42</t>
  </si>
  <si>
    <t>E31137C42</t>
  </si>
  <si>
    <t>E31136C43</t>
  </si>
  <si>
    <t>E31137C43</t>
  </si>
  <si>
    <t>E31136C44</t>
  </si>
  <si>
    <t>E31137C44</t>
  </si>
  <si>
    <t>E31136C45</t>
  </si>
  <si>
    <t>E31137C45</t>
  </si>
  <si>
    <t>Banco itaú</t>
  </si>
  <si>
    <t>S28109C1; /S281010C1; /S281011C1; /S281012C1; /S281013C1</t>
  </si>
  <si>
    <t>Banco do Brasil</t>
  </si>
  <si>
    <t>E281014C1; /E281015C1; /E281016C1</t>
  </si>
  <si>
    <t>Banco Caixa Econômica</t>
  </si>
  <si>
    <t>E27104C1; / E27105C1; / E27106C1</t>
  </si>
  <si>
    <t>E28108C1; / E281015C1</t>
  </si>
  <si>
    <t>E301019C1; / E301020C1; / E301022C1; / E301023C1; / E301024C1</t>
  </si>
  <si>
    <t>E31136C1; / S31138C1; / S31139C1</t>
  </si>
  <si>
    <t>E27102C1; / S27103C1; / E27104C1; / E27105C1; / E27106C1; / S27107C1; / E28108C1</t>
  </si>
  <si>
    <t>E291018C1; / E301019C1; / E301020C1; / E301022C1</t>
  </si>
  <si>
    <t>E31137C4; /S21130C1; /S21131C1; /S31138C1; /S31139C1; /S31139C2; /S31139C3; /S31138C4; /S31139C4; /S31139C5; /S31138C6; /S31139C6; /S31139C7; /S31139C8</t>
  </si>
  <si>
    <t>E21133C1; / E31134C1; / E31135C1; / E31137C1; / E31136C7; / E31137C10; / E31136C13; / E31137C13; / E31137C15; / E31137C20; / E31136C26; / E31136C32; / E31136C38; / E31136C39; / E31137C39; / E31136C40; / E31137C40; / E31136C41; / E31136C43; / E31137C43; / E31136C44; / E31137C44; / E31136C45; / E31137C45; / S31139C9; / S31139C10; / S31138C11; / S31139C11; / S31139C12</t>
  </si>
  <si>
    <t>S21125C1; /S21127C1; /S21129C1; /S21131C1</t>
  </si>
  <si>
    <t>E21126C1; / S21128C1; / S21130C1; / E21132C1; / E21133C1</t>
  </si>
  <si>
    <t>S31139C5; / S31139C7</t>
  </si>
  <si>
    <t>S31139C9; /S31139C10</t>
  </si>
  <si>
    <t>S31139C13; / S31139C14; / S31139C15</t>
  </si>
  <si>
    <t>S31139C18; / S31139C19; / S31139C20; / S31139C21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</si>
</sst>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164" formatCode="&quot;R$&quot;#,##0.00_);[Red]\(&quot;R$&quot;#,##0.00\)"/>
    <numFmt numFmtId="165" formatCode="_(&quot;R$&quot;* #,##0.00_);_(&quot;R$&quot;* \(#,##0.00\);_(&quot;R$&quot;* &quot;-&quot;??_);_(@_)"/>
    <numFmt numFmtId="166" formatCode="_-[$R$-416]\ * #,##0.00_-;\-[$R$-416]\ * #,##0.00_-;_-[$R$-416]\ * &quot;-&quot;??_-;_-@_-"/>
    <numFmt numFmtId="167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9">
    <xf numFmtId="0" fontId="0" fillId="0" borderId="0" xfId="0"/>
    <xf numFmtId="165" fontId="0" fillId="0" borderId="1" xfId="1" applyFont="1" applyBorder="1"/>
    <xf numFmtId="0" fontId="2" fillId="2" borderId="1" xfId="0" applyFont="1" applyFill="1" applyBorder="1"/>
    <xf numFmtId="14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164" fontId="0" fillId="0" borderId="1" xfId="0" applyNumberFormat="1" applyBorder="1"/>
    <xf numFmtId="14" fontId="0" fillId="0" borderId="0" xfId="0" applyNumberFormat="1"/>
    <xf numFmtId="164" fontId="0" fillId="0" borderId="1" xfId="0" applyNumberFormat="1" applyBorder="1" applyAlignment="1">
      <alignment horizontal="left"/>
    </xf>
    <xf numFmtId="165" fontId="0" fillId="0" borderId="0" xfId="0" applyNumberFormat="1"/>
    <xf numFmtId="164" fontId="3" fillId="2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67" fontId="0" fillId="0" borderId="1" xfId="0" applyNumberFormat="1" applyBorder="1"/>
    <xf numFmtId="8" fontId="5" fillId="0" borderId="1" xfId="0" applyNumberFormat="1" applyFont="1" applyBorder="1" applyAlignment="1">
      <alignment horizontal="center" vertical="center"/>
    </xf>
    <xf numFmtId="167" fontId="4" fillId="3" borderId="2" xfId="0" applyNumberFormat="1" applyFont="1" applyFill="1" applyBorder="1" applyAlignment="1">
      <alignment horizontal="center" vertical="center"/>
    </xf>
    <xf numFmtId="167" fontId="4" fillId="3" borderId="3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7" fontId="0" fillId="0" borderId="1" xfId="0" applyNumberFormat="1" applyFont="1" applyBorder="1"/>
    <xf numFmtId="8" fontId="0" fillId="0" borderId="0" xfId="0" applyNumberFormat="1"/>
  </cellXfs>
  <cellStyles count="2">
    <cellStyle name="Moeda" xfId="1" builtinId="4"/>
    <cellStyle name="Normal" xfId="0" builtinId="0"/>
  </cellStyles>
  <dxfs count="1529">
    <dxf>
      <font>
        <color rgb="FFFF0000"/>
      </font>
    </dxf>
    <dxf>
      <font>
        <color rgb="FFFF0000"/>
      </font>
    </dxf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>
      <font>
        <color rgb="FFFF0000"/>
      </font>
    </dxf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>
      <font>
        <color rgb="FFFF0000"/>
      </font>
    </dxf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>
      <font>
        <color rgb="FFFF0000"/>
      </font>
    </dxf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>
      <font>
        <color rgb="FFFF0000"/>
      </font>
    </dxf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>
      <font>
        <color rgb="FFFF0000"/>
      </font>
    </dxf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>
      <font>
        <color rgb="FFFF0000"/>
      </font>
    </dxf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/>
    <dxf/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>
      <font>
        <color rgb="FFFF0000"/>
      </font>
    </dxf>
    <dxf/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/>
    <dxf>
      <font>
        <color rgb="FFFF0000"/>
      </font>
    </dxf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>
      <font>
        <color rgb="FFFF0000"/>
      </font>
    </dxf>
    <dxf/>
    <dxf/>
    <dxf/>
    <dxf/>
    <dxf/>
    <dxf/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>
      <font>
        <color rgb="FFFF0000"/>
      </font>
    </dxf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>
      <font>
        <color rgb="FFFF0000"/>
      </font>
    </dxf>
    <dxf/>
    <dxf/>
    <dxf/>
    <dxf/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>
      <font>
        <color rgb="FFFF0000"/>
      </font>
    </dxf>
    <dxf/>
    <dxf/>
    <dxf/>
    <dxf/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>
      <font>
        <color rgb="FFFF0000"/>
      </font>
    </dxf>
    <dxf/>
    <dxf/>
    <dxf/>
    <dxf/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>
      <font>
        <color rgb="FFFF0000"/>
      </font>
    </dxf>
    <dxf/>
    <dxf/>
    <dxf/>
    <dxf/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/>
    <dxf>
      <font>
        <color rgb="FFFF0000"/>
      </font>
    </dxf>
    <dxf/>
    <dxf/>
    <dxf/>
    <dxf/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>
      <font>
        <color rgb="FFFF0000"/>
      </font>
    </dxf>
    <dxf/>
    <dxf/>
    <dxf>
      <font>
        <color rgb="FFFF0000"/>
      </font>
    </dxf>
    <dxf/>
    <dxf>
      <font>
        <color rgb="FFFF0000"/>
      </font>
    </dxf>
    <dxf/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  <numFmt numFmtId="164" formatCode="&quot;R$&quot;#,##0.00_);[Red]\(&quot;R$&quot;#,##0.00\)"/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numFmt numFmtId="164" formatCode="&quot;R$&quot;#,##0.00_);[Red]\(&quot;R$&quot;#,##0.00\)"/>
    </dxf>
    <dxf>
      <font>
        <color theme="9" tint="-0.24994659260841701"/>
      </font>
      <numFmt numFmtId="167" formatCode="&quot;R$&quot;\ #,##0.00"/>
    </dxf>
    <dxf>
      <font>
        <color rgb="FFFF0000"/>
      </font>
      <numFmt numFmtId="164" formatCode="&quot;R$&quot;#,##0.00_);[Red]\(&quot;R$&quot;#,##0.0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19051</xdr:colOff>
      <xdr:row>0</xdr:row>
      <xdr:rowOff>28575</xdr:rowOff>
    </xdr:from>
    <xdr:to>
      <xdr:col>9</xdr:col>
      <xdr:colOff>790576</xdr:colOff>
      <xdr:row>0</xdr:row>
      <xdr:rowOff>466725</xdr:rowOff>
    </xdr:to>
    <xdr:sp macro="[0]!AtualizarCompil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E1AAAF-3F5C-4184-9F73-6F713EA00BAA}"/>
            </a:ext>
          </a:extLst>
        </xdr:cNvPr>
        <xdr:cNvSpPr/>
      </xdr:nvSpPr>
      <xdr:spPr>
        <a:xfrm>
          <a:off x="9972676" y="28575"/>
          <a:ext cx="1219200" cy="438150"/>
        </a:xfrm>
        <a:prstGeom prst="roundRect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/>
            <a:t>CONSOLIDATION ACCOUNT</a:t>
          </a:r>
        </a:p>
      </xdr:txBody>
    </xdr:sp>
    <xdr:clientData/>
  </xdr:twoCellAnchor>
  <xdr:twoCellAnchor editAs="absolute">
    <xdr:from>
      <xdr:col>9</xdr:col>
      <xdr:colOff>857249</xdr:colOff>
      <xdr:row>0</xdr:row>
      <xdr:rowOff>38099</xdr:rowOff>
    </xdr:from>
    <xdr:to>
      <xdr:col>11</xdr:col>
      <xdr:colOff>552449</xdr:colOff>
      <xdr:row>0</xdr:row>
      <xdr:rowOff>447674</xdr:rowOff>
    </xdr:to>
    <xdr:sp macro="[0]!LimparDiarioMovimentacoe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8D770A4-4A8B-4CD9-826A-C31F9DAF6521}"/>
            </a:ext>
          </a:extLst>
        </xdr:cNvPr>
        <xdr:cNvSpPr/>
      </xdr:nvSpPr>
      <xdr:spPr>
        <a:xfrm>
          <a:off x="11258549" y="38099"/>
          <a:ext cx="1171575" cy="409575"/>
        </a:xfrm>
        <a:prstGeom prst="roundRect">
          <a:avLst/>
        </a:prstGeom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0000"/>
              </a:solidFill>
            </a:rPr>
            <a:t>CLEAR</a:t>
          </a:r>
          <a:r>
            <a:rPr lang="pt-BR" sz="1100" baseline="0">
              <a:solidFill>
                <a:srgbClr val="FF0000"/>
              </a:solidFill>
            </a:rPr>
            <a:t> VALUES</a:t>
          </a:r>
          <a:endParaRPr lang="pt-BR" sz="1100">
            <a:solidFill>
              <a:srgbClr val="FF0000"/>
            </a:solidFill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5"/>
  </sheetPr>
  <dimension ref="A1:I60"/>
  <sheetViews>
    <sheetView showGridLines="0" topLeftCell="A47" workbookViewId="0">
      <selection activeCell="A59" sqref="A59"/>
    </sheetView>
  </sheetViews>
  <sheetFormatPr defaultRowHeight="15" x14ac:dyDescent="0.25"/>
  <cols>
    <col min="1" max="1" width="11.85546875" customWidth="1"/>
    <col min="2" max="2" width="14" bestFit="1" customWidth="1"/>
    <col min="3" max="3" width="11.85546875" customWidth="1"/>
    <col min="4" max="4" width="17.7109375" customWidth="1"/>
    <col min="5" max="5" width="19" customWidth="1"/>
    <col min="6" max="6" width="17.140625" customWidth="1"/>
    <col min="7" max="7" width="16.140625" bestFit="1" customWidth="1"/>
    <col min="8" max="8" width="15.85546875" bestFit="1" customWidth="1"/>
    <col min="9" max="9" width="22.42578125" customWidth="1"/>
  </cols>
  <sheetData>
    <row r="1" spans="1:9" x14ac:dyDescent="0.25">
      <c r="A1" s="2" t="s">
        <v>0</v>
      </c>
      <c r="B1" s="2" t="s">
        <v>8</v>
      </c>
      <c r="C1" s="2" t="s">
        <v>2</v>
      </c>
      <c r="D1" s="2" t="s">
        <v>7</v>
      </c>
      <c r="E1" s="2" t="s">
        <v>1</v>
      </c>
      <c r="F1" s="2" t="s">
        <v>6</v>
      </c>
      <c r="G1" s="2" t="s">
        <v>4</v>
      </c>
      <c r="H1" s="2" t="s">
        <v>5</v>
      </c>
      <c r="I1" s="2" t="s">
        <v>59</v>
      </c>
    </row>
    <row r="2" spans="1:9" x14ac:dyDescent="0.25">
      <c r="A2" s="3">
        <v>42304</v>
      </c>
      <c r="B2" s="3" t="s">
        <v>9</v>
      </c>
      <c r="C2" s="4" t="s">
        <v>16</v>
      </c>
      <c r="D2" s="1">
        <v>2386</v>
      </c>
      <c r="E2" s="4" t="s">
        <v>20</v>
      </c>
      <c r="F2" s="4" t="s">
        <v>19</v>
      </c>
      <c r="G2" s="5">
        <v>-100</v>
      </c>
      <c r="H2" s="5">
        <f t="shared" ref="H2:H33" si="0">IF(C2="Entrada",G2+D2,G2-D2)</f>
        <v>2286</v>
      </c>
      <c r="I2" s="4"/>
    </row>
    <row r="3" spans="1:9" x14ac:dyDescent="0.25">
      <c r="A3" s="3">
        <v>42305</v>
      </c>
      <c r="B3" s="3" t="s">
        <v>9</v>
      </c>
      <c r="C3" s="4" t="s">
        <v>17</v>
      </c>
      <c r="D3" s="1">
        <v>9228</v>
      </c>
      <c r="E3" s="4" t="s">
        <v>21</v>
      </c>
      <c r="F3" s="4" t="s">
        <v>19</v>
      </c>
      <c r="G3" s="5">
        <f t="shared" ref="G3:G34" si="1">H2</f>
        <v>2286</v>
      </c>
      <c r="H3" s="5">
        <f t="shared" si="0"/>
        <v>-6942</v>
      </c>
      <c r="I3" s="4"/>
    </row>
    <row r="4" spans="1:9" x14ac:dyDescent="0.25">
      <c r="A4" s="3">
        <v>42304</v>
      </c>
      <c r="B4" s="3" t="s">
        <v>9</v>
      </c>
      <c r="C4" s="4" t="s">
        <v>16</v>
      </c>
      <c r="D4" s="1">
        <v>8833</v>
      </c>
      <c r="E4" s="4" t="s">
        <v>22</v>
      </c>
      <c r="F4" s="4" t="s">
        <v>18</v>
      </c>
      <c r="G4" s="5">
        <f t="shared" si="1"/>
        <v>-6942</v>
      </c>
      <c r="H4" s="5">
        <f t="shared" si="0"/>
        <v>1891</v>
      </c>
      <c r="I4" s="4"/>
    </row>
    <row r="5" spans="1:9" x14ac:dyDescent="0.25">
      <c r="A5" s="3">
        <v>42304</v>
      </c>
      <c r="B5" s="3" t="s">
        <v>9</v>
      </c>
      <c r="C5" s="4" t="s">
        <v>16</v>
      </c>
      <c r="D5" s="1">
        <v>8387</v>
      </c>
      <c r="E5" s="4" t="s">
        <v>23</v>
      </c>
      <c r="F5" s="4" t="s">
        <v>18</v>
      </c>
      <c r="G5" s="5">
        <f t="shared" si="1"/>
        <v>1891</v>
      </c>
      <c r="H5" s="5">
        <f t="shared" si="0"/>
        <v>10278</v>
      </c>
      <c r="I5" s="4"/>
    </row>
    <row r="6" spans="1:9" x14ac:dyDescent="0.25">
      <c r="A6" s="3">
        <v>42304</v>
      </c>
      <c r="B6" s="3" t="s">
        <v>9</v>
      </c>
      <c r="C6" s="4" t="s">
        <v>16</v>
      </c>
      <c r="D6" s="1">
        <v>99</v>
      </c>
      <c r="E6" s="4" t="s">
        <v>24</v>
      </c>
      <c r="F6" s="4" t="s">
        <v>18</v>
      </c>
      <c r="G6" s="5">
        <f t="shared" si="1"/>
        <v>10278</v>
      </c>
      <c r="H6" s="5">
        <f t="shared" si="0"/>
        <v>10377</v>
      </c>
      <c r="I6" s="4"/>
    </row>
    <row r="7" spans="1:9" x14ac:dyDescent="0.25">
      <c r="A7" s="3">
        <v>42304</v>
      </c>
      <c r="B7" s="3" t="s">
        <v>9</v>
      </c>
      <c r="C7" s="4" t="s">
        <v>17</v>
      </c>
      <c r="D7" s="1">
        <v>6741</v>
      </c>
      <c r="E7" s="4" t="s">
        <v>25</v>
      </c>
      <c r="F7" s="4" t="s">
        <v>18</v>
      </c>
      <c r="G7" s="5">
        <f t="shared" si="1"/>
        <v>10377</v>
      </c>
      <c r="H7" s="5">
        <f t="shared" si="0"/>
        <v>3636</v>
      </c>
      <c r="I7" s="4"/>
    </row>
    <row r="8" spans="1:9" x14ac:dyDescent="0.25">
      <c r="A8" s="3">
        <v>42305</v>
      </c>
      <c r="B8" s="3" t="s">
        <v>10</v>
      </c>
      <c r="C8" s="4" t="s">
        <v>16</v>
      </c>
      <c r="D8" s="1">
        <v>3694</v>
      </c>
      <c r="E8" s="4" t="s">
        <v>26</v>
      </c>
      <c r="F8" s="4" t="s">
        <v>18</v>
      </c>
      <c r="G8" s="5">
        <f t="shared" si="1"/>
        <v>3636</v>
      </c>
      <c r="H8" s="5">
        <f t="shared" si="0"/>
        <v>7330</v>
      </c>
      <c r="I8" s="4"/>
    </row>
    <row r="9" spans="1:9" x14ac:dyDescent="0.25">
      <c r="A9" s="3">
        <v>42305</v>
      </c>
      <c r="B9" s="3" t="s">
        <v>10</v>
      </c>
      <c r="C9" s="4" t="s">
        <v>17</v>
      </c>
      <c r="D9" s="1">
        <v>6167</v>
      </c>
      <c r="E9" s="4" t="s">
        <v>27</v>
      </c>
      <c r="F9" s="4" t="s">
        <v>18</v>
      </c>
      <c r="G9" s="5">
        <f t="shared" si="1"/>
        <v>7330</v>
      </c>
      <c r="H9" s="5">
        <f t="shared" si="0"/>
        <v>1163</v>
      </c>
      <c r="I9" s="4"/>
    </row>
    <row r="10" spans="1:9" x14ac:dyDescent="0.25">
      <c r="A10" s="3">
        <v>42305</v>
      </c>
      <c r="B10" s="3" t="s">
        <v>10</v>
      </c>
      <c r="C10" s="4" t="s">
        <v>17</v>
      </c>
      <c r="D10" s="1">
        <v>3512</v>
      </c>
      <c r="E10" s="4" t="s">
        <v>28</v>
      </c>
      <c r="F10" s="4" t="s">
        <v>18</v>
      </c>
      <c r="G10" s="5">
        <f t="shared" si="1"/>
        <v>1163</v>
      </c>
      <c r="H10" s="5">
        <f t="shared" si="0"/>
        <v>-2349</v>
      </c>
      <c r="I10" s="4"/>
    </row>
    <row r="11" spans="1:9" x14ac:dyDescent="0.25">
      <c r="A11" s="3">
        <v>42305</v>
      </c>
      <c r="B11" s="3" t="s">
        <v>10</v>
      </c>
      <c r="C11" s="4" t="s">
        <v>17</v>
      </c>
      <c r="D11" s="1">
        <v>5665</v>
      </c>
      <c r="E11" s="4" t="s">
        <v>29</v>
      </c>
      <c r="F11" s="4" t="s">
        <v>18</v>
      </c>
      <c r="G11" s="5">
        <f t="shared" si="1"/>
        <v>-2349</v>
      </c>
      <c r="H11" s="5">
        <f t="shared" si="0"/>
        <v>-8014</v>
      </c>
      <c r="I11" s="4"/>
    </row>
    <row r="12" spans="1:9" x14ac:dyDescent="0.25">
      <c r="A12" s="3">
        <v>42305</v>
      </c>
      <c r="B12" s="3" t="s">
        <v>10</v>
      </c>
      <c r="C12" s="4" t="s">
        <v>17</v>
      </c>
      <c r="D12" s="1">
        <v>9126</v>
      </c>
      <c r="E12" s="4" t="s">
        <v>30</v>
      </c>
      <c r="F12" s="4" t="s">
        <v>18</v>
      </c>
      <c r="G12" s="5">
        <f t="shared" si="1"/>
        <v>-8014</v>
      </c>
      <c r="H12" s="5">
        <f t="shared" si="0"/>
        <v>-17140</v>
      </c>
      <c r="I12" s="4"/>
    </row>
    <row r="13" spans="1:9" x14ac:dyDescent="0.25">
      <c r="A13" s="3">
        <v>42305</v>
      </c>
      <c r="B13" s="3" t="s">
        <v>10</v>
      </c>
      <c r="C13" s="4" t="s">
        <v>17</v>
      </c>
      <c r="D13" s="1">
        <v>4163</v>
      </c>
      <c r="E13" s="4" t="s">
        <v>31</v>
      </c>
      <c r="F13" s="4" t="s">
        <v>18</v>
      </c>
      <c r="G13" s="5">
        <f t="shared" si="1"/>
        <v>-17140</v>
      </c>
      <c r="H13" s="5">
        <f t="shared" si="0"/>
        <v>-21303</v>
      </c>
      <c r="I13" s="4"/>
    </row>
    <row r="14" spans="1:9" x14ac:dyDescent="0.25">
      <c r="A14" s="3">
        <v>42305</v>
      </c>
      <c r="B14" s="3" t="s">
        <v>10</v>
      </c>
      <c r="C14" s="4" t="s">
        <v>16</v>
      </c>
      <c r="D14" s="1">
        <v>9982</v>
      </c>
      <c r="E14" s="4" t="s">
        <v>32</v>
      </c>
      <c r="F14" s="4" t="s">
        <v>19</v>
      </c>
      <c r="G14" s="5">
        <f t="shared" si="1"/>
        <v>-21303</v>
      </c>
      <c r="H14" s="5">
        <f t="shared" si="0"/>
        <v>-11321</v>
      </c>
      <c r="I14" s="4"/>
    </row>
    <row r="15" spans="1:9" x14ac:dyDescent="0.25">
      <c r="A15" s="3">
        <v>42305</v>
      </c>
      <c r="B15" s="3" t="s">
        <v>10</v>
      </c>
      <c r="C15" s="4" t="s">
        <v>16</v>
      </c>
      <c r="D15" s="1">
        <v>7388</v>
      </c>
      <c r="E15" s="4" t="s">
        <v>33</v>
      </c>
      <c r="F15" s="4" t="s">
        <v>18</v>
      </c>
      <c r="G15" s="5">
        <f t="shared" si="1"/>
        <v>-11321</v>
      </c>
      <c r="H15" s="5">
        <f t="shared" si="0"/>
        <v>-3933</v>
      </c>
      <c r="I15" s="4"/>
    </row>
    <row r="16" spans="1:9" x14ac:dyDescent="0.25">
      <c r="A16" s="3">
        <v>42305</v>
      </c>
      <c r="B16" s="3" t="s">
        <v>10</v>
      </c>
      <c r="C16" s="4" t="s">
        <v>16</v>
      </c>
      <c r="D16" s="1">
        <v>9974</v>
      </c>
      <c r="E16" s="4" t="s">
        <v>34</v>
      </c>
      <c r="F16" s="4" t="s">
        <v>19</v>
      </c>
      <c r="G16" s="5">
        <f t="shared" si="1"/>
        <v>-3933</v>
      </c>
      <c r="H16" s="5">
        <f t="shared" si="0"/>
        <v>6041</v>
      </c>
      <c r="I16" s="4"/>
    </row>
    <row r="17" spans="1:9" x14ac:dyDescent="0.25">
      <c r="A17" s="3">
        <v>42305</v>
      </c>
      <c r="B17" s="3" t="s">
        <v>10</v>
      </c>
      <c r="C17" s="4" t="s">
        <v>16</v>
      </c>
      <c r="D17" s="1">
        <v>7380</v>
      </c>
      <c r="E17" s="4" t="s">
        <v>35</v>
      </c>
      <c r="F17" s="4" t="s">
        <v>19</v>
      </c>
      <c r="G17" s="5">
        <f t="shared" si="1"/>
        <v>6041</v>
      </c>
      <c r="H17" s="5">
        <f t="shared" si="0"/>
        <v>13421</v>
      </c>
      <c r="I17" s="4"/>
    </row>
    <row r="18" spans="1:9" x14ac:dyDescent="0.25">
      <c r="A18" s="3">
        <v>42306</v>
      </c>
      <c r="B18" s="3" t="s">
        <v>11</v>
      </c>
      <c r="C18" s="4" t="s">
        <v>16</v>
      </c>
      <c r="D18" s="1">
        <v>8901</v>
      </c>
      <c r="E18" s="4" t="s">
        <v>36</v>
      </c>
      <c r="F18" s="4" t="s">
        <v>18</v>
      </c>
      <c r="G18" s="5">
        <f t="shared" si="1"/>
        <v>13421</v>
      </c>
      <c r="H18" s="5">
        <f t="shared" si="0"/>
        <v>22322</v>
      </c>
      <c r="I18" s="4"/>
    </row>
    <row r="19" spans="1:9" x14ac:dyDescent="0.25">
      <c r="A19" s="3">
        <v>42307</v>
      </c>
      <c r="B19" s="3" t="s">
        <v>12</v>
      </c>
      <c r="C19" s="4" t="s">
        <v>16</v>
      </c>
      <c r="D19" s="1">
        <v>5569</v>
      </c>
      <c r="E19" s="4" t="s">
        <v>37</v>
      </c>
      <c r="F19" s="4" t="s">
        <v>18</v>
      </c>
      <c r="G19" s="5">
        <f t="shared" si="1"/>
        <v>22322</v>
      </c>
      <c r="H19" s="5">
        <f t="shared" si="0"/>
        <v>27891</v>
      </c>
      <c r="I19" s="4"/>
    </row>
    <row r="20" spans="1:9" x14ac:dyDescent="0.25">
      <c r="A20" s="3">
        <v>42307</v>
      </c>
      <c r="B20" s="3" t="s">
        <v>12</v>
      </c>
      <c r="C20" s="4" t="s">
        <v>16</v>
      </c>
      <c r="D20" s="1">
        <v>8906</v>
      </c>
      <c r="E20" s="4" t="s">
        <v>38</v>
      </c>
      <c r="F20" s="4" t="s">
        <v>18</v>
      </c>
      <c r="G20" s="5">
        <f t="shared" si="1"/>
        <v>27891</v>
      </c>
      <c r="H20" s="5">
        <f t="shared" si="0"/>
        <v>36797</v>
      </c>
      <c r="I20" s="4"/>
    </row>
    <row r="21" spans="1:9" x14ac:dyDescent="0.25">
      <c r="A21" s="3">
        <v>42307</v>
      </c>
      <c r="B21" s="3" t="s">
        <v>12</v>
      </c>
      <c r="C21" s="4" t="s">
        <v>17</v>
      </c>
      <c r="D21" s="1">
        <v>3405</v>
      </c>
      <c r="E21" s="4" t="s">
        <v>39</v>
      </c>
      <c r="F21" s="4" t="s">
        <v>18</v>
      </c>
      <c r="G21" s="5">
        <f t="shared" si="1"/>
        <v>36797</v>
      </c>
      <c r="H21" s="5">
        <f t="shared" si="0"/>
        <v>33392</v>
      </c>
      <c r="I21" s="4"/>
    </row>
    <row r="22" spans="1:9" x14ac:dyDescent="0.25">
      <c r="A22" s="3">
        <v>42307</v>
      </c>
      <c r="B22" s="3" t="s">
        <v>12</v>
      </c>
      <c r="C22" s="4" t="s">
        <v>16</v>
      </c>
      <c r="D22" s="1">
        <v>9326</v>
      </c>
      <c r="E22" s="4" t="s">
        <v>40</v>
      </c>
      <c r="F22" s="4" t="s">
        <v>18</v>
      </c>
      <c r="G22" s="5">
        <f t="shared" si="1"/>
        <v>33392</v>
      </c>
      <c r="H22" s="5">
        <f t="shared" si="0"/>
        <v>42718</v>
      </c>
      <c r="I22" s="4"/>
    </row>
    <row r="23" spans="1:9" x14ac:dyDescent="0.25">
      <c r="A23" s="3">
        <v>42307</v>
      </c>
      <c r="B23" s="3" t="s">
        <v>12</v>
      </c>
      <c r="C23" s="4" t="s">
        <v>16</v>
      </c>
      <c r="D23" s="1">
        <v>855</v>
      </c>
      <c r="E23" s="4" t="s">
        <v>41</v>
      </c>
      <c r="F23" s="4" t="s">
        <v>18</v>
      </c>
      <c r="G23" s="5">
        <f t="shared" si="1"/>
        <v>42718</v>
      </c>
      <c r="H23" s="5">
        <f t="shared" si="0"/>
        <v>43573</v>
      </c>
      <c r="I23" s="4"/>
    </row>
    <row r="24" spans="1:9" x14ac:dyDescent="0.25">
      <c r="A24" s="3">
        <v>42307</v>
      </c>
      <c r="B24" s="3" t="s">
        <v>12</v>
      </c>
      <c r="C24" s="4" t="s">
        <v>16</v>
      </c>
      <c r="D24" s="1">
        <v>9863</v>
      </c>
      <c r="E24" s="4" t="s">
        <v>42</v>
      </c>
      <c r="F24" s="4" t="s">
        <v>18</v>
      </c>
      <c r="G24" s="5">
        <f t="shared" si="1"/>
        <v>43573</v>
      </c>
      <c r="H24" s="5">
        <f t="shared" si="0"/>
        <v>53436</v>
      </c>
      <c r="I24" s="4"/>
    </row>
    <row r="25" spans="1:9" x14ac:dyDescent="0.25">
      <c r="A25" s="3">
        <v>42310</v>
      </c>
      <c r="B25" s="3" t="s">
        <v>15</v>
      </c>
      <c r="C25" s="4" t="s">
        <v>17</v>
      </c>
      <c r="D25" s="1">
        <v>2813</v>
      </c>
      <c r="E25" s="4" t="s">
        <v>43</v>
      </c>
      <c r="F25" s="4" t="s">
        <v>18</v>
      </c>
      <c r="G25" s="5">
        <f t="shared" si="1"/>
        <v>53436</v>
      </c>
      <c r="H25" s="5">
        <f t="shared" si="0"/>
        <v>50623</v>
      </c>
      <c r="I25" s="4"/>
    </row>
    <row r="26" spans="1:9" x14ac:dyDescent="0.25">
      <c r="A26" s="3">
        <v>42310</v>
      </c>
      <c r="B26" s="3" t="s">
        <v>15</v>
      </c>
      <c r="C26" s="4" t="s">
        <v>16</v>
      </c>
      <c r="D26" s="1">
        <v>1294</v>
      </c>
      <c r="E26" s="4" t="s">
        <v>44</v>
      </c>
      <c r="F26" s="4" t="s">
        <v>18</v>
      </c>
      <c r="G26" s="5">
        <f t="shared" si="1"/>
        <v>50623</v>
      </c>
      <c r="H26" s="5">
        <f t="shared" si="0"/>
        <v>51917</v>
      </c>
      <c r="I26" s="4"/>
    </row>
    <row r="27" spans="1:9" x14ac:dyDescent="0.25">
      <c r="A27" s="3">
        <v>42310</v>
      </c>
      <c r="B27" s="3" t="s">
        <v>15</v>
      </c>
      <c r="C27" s="4" t="s">
        <v>17</v>
      </c>
      <c r="D27" s="1">
        <v>6929</v>
      </c>
      <c r="E27" s="4" t="s">
        <v>45</v>
      </c>
      <c r="F27" s="4" t="s">
        <v>18</v>
      </c>
      <c r="G27" s="5">
        <f t="shared" si="1"/>
        <v>51917</v>
      </c>
      <c r="H27" s="5">
        <f t="shared" si="0"/>
        <v>44988</v>
      </c>
      <c r="I27" s="4"/>
    </row>
    <row r="28" spans="1:9" x14ac:dyDescent="0.25">
      <c r="A28" s="3">
        <v>42310</v>
      </c>
      <c r="B28" s="3" t="s">
        <v>15</v>
      </c>
      <c r="C28" s="4" t="s">
        <v>16</v>
      </c>
      <c r="D28" s="1">
        <v>9471</v>
      </c>
      <c r="E28" s="4" t="s">
        <v>46</v>
      </c>
      <c r="F28" s="4" t="s">
        <v>18</v>
      </c>
      <c r="G28" s="5">
        <f t="shared" si="1"/>
        <v>44988</v>
      </c>
      <c r="H28" s="5">
        <f t="shared" si="0"/>
        <v>54459</v>
      </c>
      <c r="I28" s="4"/>
    </row>
    <row r="29" spans="1:9" x14ac:dyDescent="0.25">
      <c r="A29" s="3">
        <v>42310</v>
      </c>
      <c r="B29" s="3" t="s">
        <v>15</v>
      </c>
      <c r="C29" s="4" t="s">
        <v>17</v>
      </c>
      <c r="D29" s="1">
        <v>9650</v>
      </c>
      <c r="E29" s="4" t="s">
        <v>47</v>
      </c>
      <c r="F29" s="4" t="s">
        <v>18</v>
      </c>
      <c r="G29" s="5">
        <f t="shared" si="1"/>
        <v>54459</v>
      </c>
      <c r="H29" s="5">
        <f t="shared" si="0"/>
        <v>44809</v>
      </c>
      <c r="I29" s="4"/>
    </row>
    <row r="30" spans="1:9" x14ac:dyDescent="0.25">
      <c r="A30" s="3">
        <v>42310</v>
      </c>
      <c r="B30" s="3" t="s">
        <v>15</v>
      </c>
      <c r="C30" s="4" t="s">
        <v>16</v>
      </c>
      <c r="D30" s="1">
        <v>4581</v>
      </c>
      <c r="E30" s="4" t="s">
        <v>48</v>
      </c>
      <c r="F30" s="4" t="s">
        <v>18</v>
      </c>
      <c r="G30" s="5">
        <f t="shared" si="1"/>
        <v>44809</v>
      </c>
      <c r="H30" s="5">
        <f t="shared" si="0"/>
        <v>49390</v>
      </c>
      <c r="I30" s="4"/>
    </row>
    <row r="31" spans="1:9" x14ac:dyDescent="0.25">
      <c r="A31" s="3">
        <v>42310</v>
      </c>
      <c r="B31" s="3" t="s">
        <v>15</v>
      </c>
      <c r="C31" s="4" t="s">
        <v>17</v>
      </c>
      <c r="D31" s="1">
        <v>1894</v>
      </c>
      <c r="E31" s="4" t="s">
        <v>49</v>
      </c>
      <c r="F31" s="4" t="s">
        <v>18</v>
      </c>
      <c r="G31" s="5">
        <f t="shared" si="1"/>
        <v>49390</v>
      </c>
      <c r="H31" s="5">
        <f t="shared" si="0"/>
        <v>47496</v>
      </c>
      <c r="I31" s="4"/>
    </row>
    <row r="32" spans="1:9" x14ac:dyDescent="0.25">
      <c r="A32" s="3">
        <v>42310</v>
      </c>
      <c r="B32" s="3" t="s">
        <v>15</v>
      </c>
      <c r="C32" s="4" t="s">
        <v>16</v>
      </c>
      <c r="D32" s="1">
        <v>9109</v>
      </c>
      <c r="E32" s="4" t="s">
        <v>50</v>
      </c>
      <c r="F32" s="4" t="s">
        <v>18</v>
      </c>
      <c r="G32" s="5">
        <f t="shared" si="1"/>
        <v>47496</v>
      </c>
      <c r="H32" s="5">
        <f t="shared" si="0"/>
        <v>56605</v>
      </c>
      <c r="I32" s="4"/>
    </row>
    <row r="33" spans="1:9" x14ac:dyDescent="0.25">
      <c r="A33" s="3">
        <v>42310</v>
      </c>
      <c r="B33" s="3" t="s">
        <v>15</v>
      </c>
      <c r="C33" s="4" t="s">
        <v>16</v>
      </c>
      <c r="D33" s="1">
        <v>4845</v>
      </c>
      <c r="E33" s="4" t="s">
        <v>51</v>
      </c>
      <c r="F33" s="4" t="s">
        <v>18</v>
      </c>
      <c r="G33" s="5">
        <f t="shared" si="1"/>
        <v>56605</v>
      </c>
      <c r="H33" s="5">
        <f t="shared" si="0"/>
        <v>61450</v>
      </c>
      <c r="I33" s="4"/>
    </row>
    <row r="34" spans="1:9" x14ac:dyDescent="0.25">
      <c r="A34" s="3">
        <v>42311</v>
      </c>
      <c r="B34" s="3" t="s">
        <v>9</v>
      </c>
      <c r="C34" s="4" t="s">
        <v>16</v>
      </c>
      <c r="D34" s="1">
        <v>3249</v>
      </c>
      <c r="E34" s="4" t="s">
        <v>52</v>
      </c>
      <c r="F34" s="4" t="s">
        <v>19</v>
      </c>
      <c r="G34" s="5">
        <f t="shared" si="1"/>
        <v>61450</v>
      </c>
      <c r="H34" s="5">
        <f t="shared" ref="H34:H60" si="2">IF(C34="Entrada",G34+D34,G34-D34)</f>
        <v>64699</v>
      </c>
      <c r="I34" s="4"/>
    </row>
    <row r="35" spans="1:9" x14ac:dyDescent="0.25">
      <c r="A35" s="3">
        <v>42311</v>
      </c>
      <c r="B35" s="3" t="s">
        <v>9</v>
      </c>
      <c r="C35" s="4" t="s">
        <v>17</v>
      </c>
      <c r="D35" s="1">
        <v>9888</v>
      </c>
      <c r="E35" s="4" t="s">
        <v>53</v>
      </c>
      <c r="F35" s="4" t="s">
        <v>19</v>
      </c>
      <c r="G35" s="5">
        <f t="shared" ref="G35:G60" si="3">H34</f>
        <v>64699</v>
      </c>
      <c r="H35" s="5">
        <f t="shared" si="2"/>
        <v>54811</v>
      </c>
      <c r="I35" s="4"/>
    </row>
    <row r="36" spans="1:9" x14ac:dyDescent="0.25">
      <c r="A36" s="3">
        <v>42311</v>
      </c>
      <c r="B36" s="3" t="s">
        <v>9</v>
      </c>
      <c r="C36" s="4" t="s">
        <v>16</v>
      </c>
      <c r="D36" s="1">
        <v>8005</v>
      </c>
      <c r="E36" s="4" t="s">
        <v>54</v>
      </c>
      <c r="F36" s="4" t="s">
        <v>18</v>
      </c>
      <c r="G36" s="5">
        <f t="shared" si="3"/>
        <v>54811</v>
      </c>
      <c r="H36" s="5">
        <f t="shared" si="2"/>
        <v>62816</v>
      </c>
      <c r="I36" s="4"/>
    </row>
    <row r="37" spans="1:9" x14ac:dyDescent="0.25">
      <c r="A37" s="3">
        <v>42311</v>
      </c>
      <c r="B37" s="3" t="s">
        <v>9</v>
      </c>
      <c r="C37" s="4" t="s">
        <v>16</v>
      </c>
      <c r="D37" s="1">
        <v>7307</v>
      </c>
      <c r="E37" s="4" t="s">
        <v>55</v>
      </c>
      <c r="F37" s="4" t="s">
        <v>19</v>
      </c>
      <c r="G37" s="5">
        <f t="shared" si="3"/>
        <v>62816</v>
      </c>
      <c r="H37" s="5">
        <f t="shared" si="2"/>
        <v>70123</v>
      </c>
      <c r="I37" s="4"/>
    </row>
    <row r="38" spans="1:9" x14ac:dyDescent="0.25">
      <c r="A38" s="3">
        <v>42311</v>
      </c>
      <c r="B38" s="3" t="s">
        <v>9</v>
      </c>
      <c r="C38" s="4" t="s">
        <v>16</v>
      </c>
      <c r="D38" s="1">
        <v>4132</v>
      </c>
      <c r="E38" s="4" t="s">
        <v>56</v>
      </c>
      <c r="F38" s="4" t="s">
        <v>18</v>
      </c>
      <c r="G38" s="5">
        <f t="shared" si="3"/>
        <v>70123</v>
      </c>
      <c r="H38" s="5">
        <f t="shared" si="2"/>
        <v>74255</v>
      </c>
      <c r="I38" s="4"/>
    </row>
    <row r="39" spans="1:9" x14ac:dyDescent="0.25">
      <c r="A39" s="3">
        <v>42311</v>
      </c>
      <c r="B39" s="3" t="s">
        <v>9</v>
      </c>
      <c r="C39" s="4" t="s">
        <v>16</v>
      </c>
      <c r="D39" s="1">
        <v>7526</v>
      </c>
      <c r="E39" s="4" t="s">
        <v>57</v>
      </c>
      <c r="F39" s="4" t="s">
        <v>18</v>
      </c>
      <c r="G39" s="5">
        <f t="shared" si="3"/>
        <v>74255</v>
      </c>
      <c r="H39" s="5">
        <f t="shared" si="2"/>
        <v>81781</v>
      </c>
      <c r="I39" s="4"/>
    </row>
    <row r="40" spans="1:9" x14ac:dyDescent="0.25">
      <c r="A40" s="3">
        <v>42312</v>
      </c>
      <c r="B40" s="3" t="s">
        <v>10</v>
      </c>
      <c r="C40" s="4" t="s">
        <v>17</v>
      </c>
      <c r="D40" s="1">
        <v>19533</v>
      </c>
      <c r="E40" s="4" t="s">
        <v>64</v>
      </c>
      <c r="F40" s="4" t="s">
        <v>18</v>
      </c>
      <c r="G40" s="5">
        <f t="shared" si="3"/>
        <v>81781</v>
      </c>
      <c r="H40" s="5">
        <f t="shared" si="2"/>
        <v>62248</v>
      </c>
      <c r="I40" s="4"/>
    </row>
    <row r="41" spans="1:9" x14ac:dyDescent="0.25">
      <c r="A41" s="3">
        <v>42313</v>
      </c>
      <c r="B41" s="3" t="s">
        <v>11</v>
      </c>
      <c r="C41" s="4" t="s">
        <v>17</v>
      </c>
      <c r="D41" s="1">
        <v>21356</v>
      </c>
      <c r="E41" s="4" t="s">
        <v>65</v>
      </c>
      <c r="F41" s="4" t="s">
        <v>18</v>
      </c>
      <c r="G41" s="5">
        <f t="shared" si="3"/>
        <v>62248</v>
      </c>
      <c r="H41" s="5">
        <f t="shared" si="2"/>
        <v>40892</v>
      </c>
      <c r="I41" s="4"/>
    </row>
    <row r="42" spans="1:9" x14ac:dyDescent="0.25">
      <c r="A42" s="3">
        <v>42313</v>
      </c>
      <c r="B42" s="3" t="s">
        <v>12</v>
      </c>
      <c r="C42" s="4" t="s">
        <v>16</v>
      </c>
      <c r="D42" s="1">
        <v>24555</v>
      </c>
      <c r="E42" s="4" t="s">
        <v>66</v>
      </c>
      <c r="F42" s="4" t="s">
        <v>18</v>
      </c>
      <c r="G42" s="5">
        <f t="shared" si="3"/>
        <v>40892</v>
      </c>
      <c r="H42" s="5">
        <f t="shared" si="2"/>
        <v>65447</v>
      </c>
      <c r="I42" s="4"/>
    </row>
    <row r="43" spans="1:9" x14ac:dyDescent="0.25">
      <c r="A43" s="3">
        <v>42315</v>
      </c>
      <c r="B43" s="3" t="s">
        <v>13</v>
      </c>
      <c r="C43" s="4" t="s">
        <v>16</v>
      </c>
      <c r="D43" s="1">
        <v>26178</v>
      </c>
      <c r="E43" s="4" t="s">
        <v>67</v>
      </c>
      <c r="F43" s="4" t="s">
        <v>18</v>
      </c>
      <c r="G43" s="5">
        <f t="shared" si="3"/>
        <v>65447</v>
      </c>
      <c r="H43" s="5">
        <f t="shared" si="2"/>
        <v>91625</v>
      </c>
      <c r="I43" s="4"/>
    </row>
    <row r="44" spans="1:9" x14ac:dyDescent="0.25">
      <c r="A44" s="3">
        <v>42315</v>
      </c>
      <c r="B44" s="3" t="s">
        <v>14</v>
      </c>
      <c r="C44" s="4" t="s">
        <v>17</v>
      </c>
      <c r="D44" s="1">
        <v>32527.4</v>
      </c>
      <c r="E44" s="4" t="s">
        <v>68</v>
      </c>
      <c r="F44" s="4" t="s">
        <v>18</v>
      </c>
      <c r="G44" s="5">
        <f t="shared" si="3"/>
        <v>91625</v>
      </c>
      <c r="H44" s="5">
        <f t="shared" si="2"/>
        <v>59097.599999999999</v>
      </c>
      <c r="I44" s="4"/>
    </row>
    <row r="45" spans="1:9" x14ac:dyDescent="0.25">
      <c r="A45" s="3">
        <v>42315</v>
      </c>
      <c r="B45" s="3" t="s">
        <v>15</v>
      </c>
      <c r="C45" s="4" t="s">
        <v>16</v>
      </c>
      <c r="D45" s="1">
        <v>36760</v>
      </c>
      <c r="E45" s="4" t="s">
        <v>69</v>
      </c>
      <c r="F45" s="4" t="s">
        <v>18</v>
      </c>
      <c r="G45" s="5">
        <f t="shared" si="3"/>
        <v>59097.599999999999</v>
      </c>
      <c r="H45" s="5">
        <f t="shared" si="2"/>
        <v>95857.600000000006</v>
      </c>
      <c r="I45" s="4"/>
    </row>
    <row r="46" spans="1:9" x14ac:dyDescent="0.25">
      <c r="A46" s="3">
        <v>42318</v>
      </c>
      <c r="B46" s="3" t="s">
        <v>9</v>
      </c>
      <c r="C46" s="4" t="s">
        <v>16</v>
      </c>
      <c r="D46" s="1">
        <v>40992.6</v>
      </c>
      <c r="E46" s="4" t="s">
        <v>70</v>
      </c>
      <c r="F46" s="4" t="s">
        <v>18</v>
      </c>
      <c r="G46" s="5">
        <f t="shared" si="3"/>
        <v>95857.600000000006</v>
      </c>
      <c r="H46" s="5">
        <f t="shared" si="2"/>
        <v>136850.20000000001</v>
      </c>
      <c r="I46" s="4"/>
    </row>
    <row r="47" spans="1:9" x14ac:dyDescent="0.25">
      <c r="A47" s="3">
        <v>42319</v>
      </c>
      <c r="B47" s="3" t="s">
        <v>10</v>
      </c>
      <c r="C47" s="4" t="s">
        <v>17</v>
      </c>
      <c r="D47" s="1">
        <v>45225.2</v>
      </c>
      <c r="E47" s="4" t="s">
        <v>71</v>
      </c>
      <c r="F47" s="4" t="s">
        <v>18</v>
      </c>
      <c r="G47" s="5">
        <f t="shared" si="3"/>
        <v>136850.20000000001</v>
      </c>
      <c r="H47" s="5">
        <f t="shared" si="2"/>
        <v>91625.000000000015</v>
      </c>
      <c r="I47" s="4"/>
    </row>
    <row r="48" spans="1:9" x14ac:dyDescent="0.25">
      <c r="A48" s="3">
        <v>42319</v>
      </c>
      <c r="B48" s="3" t="s">
        <v>11</v>
      </c>
      <c r="C48" s="4" t="s">
        <v>17</v>
      </c>
      <c r="D48" s="1">
        <v>49457.8</v>
      </c>
      <c r="E48" s="4" t="s">
        <v>72</v>
      </c>
      <c r="F48" s="4" t="s">
        <v>18</v>
      </c>
      <c r="G48" s="5">
        <f t="shared" si="3"/>
        <v>91625.000000000015</v>
      </c>
      <c r="H48" s="5">
        <f t="shared" si="2"/>
        <v>42167.200000000012</v>
      </c>
      <c r="I48" s="4"/>
    </row>
    <row r="49" spans="1:9" x14ac:dyDescent="0.25">
      <c r="A49" s="3">
        <v>42319</v>
      </c>
      <c r="B49" s="3" t="s">
        <v>12</v>
      </c>
      <c r="C49" s="4" t="s">
        <v>16</v>
      </c>
      <c r="D49" s="1">
        <v>53690.400000000001</v>
      </c>
      <c r="E49" s="4" t="s">
        <v>73</v>
      </c>
      <c r="F49" s="4" t="s">
        <v>18</v>
      </c>
      <c r="G49" s="5">
        <f t="shared" si="3"/>
        <v>42167.200000000012</v>
      </c>
      <c r="H49" s="5">
        <f t="shared" si="2"/>
        <v>95857.600000000006</v>
      </c>
      <c r="I49" s="4"/>
    </row>
    <row r="50" spans="1:9" x14ac:dyDescent="0.25">
      <c r="A50" s="3">
        <v>42322</v>
      </c>
      <c r="B50" s="3" t="s">
        <v>13</v>
      </c>
      <c r="C50" s="4" t="s">
        <v>16</v>
      </c>
      <c r="D50" s="1">
        <v>57923</v>
      </c>
      <c r="E50" s="4" t="s">
        <v>74</v>
      </c>
      <c r="F50" s="4" t="s">
        <v>18</v>
      </c>
      <c r="G50" s="5">
        <f t="shared" si="3"/>
        <v>95857.600000000006</v>
      </c>
      <c r="H50" s="5">
        <f t="shared" si="2"/>
        <v>153780.6</v>
      </c>
      <c r="I50" s="4"/>
    </row>
    <row r="51" spans="1:9" x14ac:dyDescent="0.25">
      <c r="A51" s="3">
        <v>42323</v>
      </c>
      <c r="B51" s="3" t="s">
        <v>14</v>
      </c>
      <c r="C51" s="4" t="s">
        <v>16</v>
      </c>
      <c r="D51" s="1">
        <v>62155.6</v>
      </c>
      <c r="E51" s="4" t="s">
        <v>75</v>
      </c>
      <c r="F51" s="4" t="s">
        <v>18</v>
      </c>
      <c r="G51" s="5">
        <f t="shared" si="3"/>
        <v>153780.6</v>
      </c>
      <c r="H51" s="5">
        <f t="shared" si="2"/>
        <v>215936.2</v>
      </c>
      <c r="I51" s="4"/>
    </row>
    <row r="52" spans="1:9" x14ac:dyDescent="0.25">
      <c r="A52" s="3">
        <v>42323</v>
      </c>
      <c r="B52" s="3" t="s">
        <v>15</v>
      </c>
      <c r="C52" s="4" t="s">
        <v>16</v>
      </c>
      <c r="D52" s="1">
        <v>66388.2</v>
      </c>
      <c r="E52" s="4" t="s">
        <v>76</v>
      </c>
      <c r="F52" s="4" t="s">
        <v>18</v>
      </c>
      <c r="G52" s="5">
        <f t="shared" si="3"/>
        <v>215936.2</v>
      </c>
      <c r="H52" s="5">
        <f t="shared" si="2"/>
        <v>282324.40000000002</v>
      </c>
      <c r="I52" s="4"/>
    </row>
    <row r="53" spans="1:9" x14ac:dyDescent="0.25">
      <c r="A53" s="3">
        <v>42323</v>
      </c>
      <c r="B53" s="3" t="s">
        <v>9</v>
      </c>
      <c r="C53" s="4" t="s">
        <v>16</v>
      </c>
      <c r="D53" s="1">
        <v>70620.800000000003</v>
      </c>
      <c r="E53" s="4" t="s">
        <v>77</v>
      </c>
      <c r="F53" s="4" t="s">
        <v>18</v>
      </c>
      <c r="G53" s="5">
        <f t="shared" si="3"/>
        <v>282324.40000000002</v>
      </c>
      <c r="H53" s="5">
        <f t="shared" si="2"/>
        <v>352945.2</v>
      </c>
      <c r="I53" s="4"/>
    </row>
    <row r="54" spans="1:9" x14ac:dyDescent="0.25">
      <c r="A54" s="3">
        <v>42326</v>
      </c>
      <c r="B54" s="3" t="s">
        <v>10</v>
      </c>
      <c r="C54" s="4" t="s">
        <v>17</v>
      </c>
      <c r="D54" s="1">
        <v>74853.399999999994</v>
      </c>
      <c r="E54" s="4" t="s">
        <v>78</v>
      </c>
      <c r="F54" s="4" t="s">
        <v>18</v>
      </c>
      <c r="G54" s="5">
        <f t="shared" si="3"/>
        <v>352945.2</v>
      </c>
      <c r="H54" s="5">
        <f t="shared" si="2"/>
        <v>278091.80000000005</v>
      </c>
      <c r="I54" s="4"/>
    </row>
    <row r="55" spans="1:9" x14ac:dyDescent="0.25">
      <c r="A55" s="3">
        <v>42327</v>
      </c>
      <c r="B55" s="3" t="s">
        <v>11</v>
      </c>
      <c r="C55" s="4" t="s">
        <v>17</v>
      </c>
      <c r="D55" s="1">
        <v>79086</v>
      </c>
      <c r="E55" s="4" t="s">
        <v>79</v>
      </c>
      <c r="F55" s="4" t="s">
        <v>18</v>
      </c>
      <c r="G55" s="5">
        <f t="shared" si="3"/>
        <v>278091.80000000005</v>
      </c>
      <c r="H55" s="5">
        <f t="shared" si="2"/>
        <v>199005.80000000005</v>
      </c>
      <c r="I55" s="4"/>
    </row>
    <row r="56" spans="1:9" x14ac:dyDescent="0.25">
      <c r="A56" s="3">
        <v>42328</v>
      </c>
      <c r="B56" s="3" t="s">
        <v>12</v>
      </c>
      <c r="C56" s="4" t="s">
        <v>16</v>
      </c>
      <c r="D56" s="1">
        <v>83318.600000000006</v>
      </c>
      <c r="E56" s="4" t="s">
        <v>80</v>
      </c>
      <c r="F56" s="4" t="s">
        <v>18</v>
      </c>
      <c r="G56" s="5">
        <f t="shared" si="3"/>
        <v>199005.80000000005</v>
      </c>
      <c r="H56" s="5">
        <f t="shared" si="2"/>
        <v>282324.40000000002</v>
      </c>
      <c r="I56" s="4"/>
    </row>
    <row r="57" spans="1:9" x14ac:dyDescent="0.25">
      <c r="A57" s="3">
        <v>42328</v>
      </c>
      <c r="B57" s="3" t="s">
        <v>13</v>
      </c>
      <c r="C57" s="4" t="s">
        <v>16</v>
      </c>
      <c r="D57" s="1">
        <v>87551.2</v>
      </c>
      <c r="E57" s="4" t="s">
        <v>81</v>
      </c>
      <c r="F57" s="4" t="s">
        <v>18</v>
      </c>
      <c r="G57" s="5">
        <f t="shared" si="3"/>
        <v>282324.40000000002</v>
      </c>
      <c r="H57" s="5">
        <f t="shared" si="2"/>
        <v>369875.60000000003</v>
      </c>
      <c r="I57" s="4"/>
    </row>
    <row r="58" spans="1:9" x14ac:dyDescent="0.25">
      <c r="A58" s="3">
        <v>42328</v>
      </c>
      <c r="B58" s="3" t="s">
        <v>14</v>
      </c>
      <c r="C58" s="4" t="s">
        <v>16</v>
      </c>
      <c r="D58" s="1">
        <v>91783.8</v>
      </c>
      <c r="E58" s="4" t="s">
        <v>82</v>
      </c>
      <c r="F58" s="4" t="s">
        <v>18</v>
      </c>
      <c r="G58" s="5">
        <f t="shared" si="3"/>
        <v>369875.60000000003</v>
      </c>
      <c r="H58" s="5">
        <f t="shared" si="2"/>
        <v>461659.4</v>
      </c>
      <c r="I58" s="4"/>
    </row>
    <row r="59" spans="1:9" x14ac:dyDescent="0.25">
      <c r="A59" s="3">
        <v>42328</v>
      </c>
      <c r="B59" s="3" t="s">
        <v>15</v>
      </c>
      <c r="C59" s="4" t="s">
        <v>16</v>
      </c>
      <c r="D59" s="1">
        <v>96016.4</v>
      </c>
      <c r="E59" s="4" t="s">
        <v>83</v>
      </c>
      <c r="F59" s="4" t="s">
        <v>18</v>
      </c>
      <c r="G59" s="5">
        <f t="shared" si="3"/>
        <v>461659.4</v>
      </c>
      <c r="H59" s="5">
        <f t="shared" si="2"/>
        <v>557675.80000000005</v>
      </c>
      <c r="I59" s="4"/>
    </row>
    <row r="60" spans="1:9" x14ac:dyDescent="0.25">
      <c r="A60" s="3">
        <v>42332</v>
      </c>
      <c r="B60" s="3" t="s">
        <v>9</v>
      </c>
      <c r="C60" s="4" t="s">
        <v>16</v>
      </c>
      <c r="D60" s="1">
        <v>100249</v>
      </c>
      <c r="E60" s="4" t="s">
        <v>84</v>
      </c>
      <c r="F60" s="4" t="s">
        <v>18</v>
      </c>
      <c r="G60" s="5">
        <f t="shared" si="3"/>
        <v>557675.80000000005</v>
      </c>
      <c r="H60" s="5">
        <f t="shared" si="2"/>
        <v>657924.80000000005</v>
      </c>
      <c r="I60" s="4"/>
    </row>
  </sheetData>
  <autoFilter ref="A1:H39" xr:uid="{34D22D64-41DD-470A-A0A7-AFAD6D35AA05}">
    <sortState xmlns:xlrd2="http://schemas.microsoft.com/office/spreadsheetml/2017/richdata2" ref="A2:H60">
      <sortCondition ref="A1:A39"/>
    </sortState>
  </autoFilter>
  <phoneticPr fontId="6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0568-367C-4E2A-B3A5-F23972D8C922}">
  <sheetPr codeName="Planilha1">
    <tabColor theme="8" tint="-0.249977111117893"/>
  </sheetPr>
  <dimension ref="A1:I39"/>
  <sheetViews>
    <sheetView showGridLines="0" workbookViewId="0">
      <selection activeCell="I2" sqref="I2"/>
    </sheetView>
  </sheetViews>
  <sheetFormatPr defaultRowHeight="15" x14ac:dyDescent="0.25"/>
  <cols>
    <col min="1" max="1" width="13.42578125" customWidth="1"/>
    <col min="2" max="2" width="16" customWidth="1"/>
    <col min="3" max="3" width="11.28515625" customWidth="1"/>
    <col min="4" max="4" width="15.42578125" customWidth="1"/>
    <col min="5" max="5" width="16" customWidth="1"/>
    <col min="6" max="6" width="14.140625" customWidth="1"/>
    <col min="7" max="7" width="16" customWidth="1"/>
    <col min="8" max="8" width="16.7109375" customWidth="1"/>
    <col min="9" max="9" width="23.140625" customWidth="1"/>
  </cols>
  <sheetData>
    <row r="1" spans="1:9" x14ac:dyDescent="0.25">
      <c r="A1" s="2" t="s">
        <v>0</v>
      </c>
      <c r="B1" s="2" t="s">
        <v>8</v>
      </c>
      <c r="C1" s="2" t="s">
        <v>2</v>
      </c>
      <c r="D1" s="2" t="s">
        <v>7</v>
      </c>
      <c r="E1" s="2" t="s">
        <v>1</v>
      </c>
      <c r="F1" s="2" t="s">
        <v>6</v>
      </c>
      <c r="G1" s="2" t="s">
        <v>4</v>
      </c>
      <c r="H1" s="2" t="s">
        <v>5</v>
      </c>
      <c r="I1" s="2" t="s">
        <v>59</v>
      </c>
    </row>
    <row r="2" spans="1:9" x14ac:dyDescent="0.25">
      <c r="A2" s="3">
        <v>42005</v>
      </c>
      <c r="B2" s="3" t="s">
        <v>9</v>
      </c>
      <c r="C2" s="4" t="s">
        <v>16</v>
      </c>
      <c r="D2" s="1">
        <v>12386</v>
      </c>
      <c r="E2" s="4" t="s">
        <v>20</v>
      </c>
      <c r="F2" s="4" t="s">
        <v>19</v>
      </c>
      <c r="G2" s="5">
        <v>-100</v>
      </c>
      <c r="H2" s="5">
        <f>IF(C2="Entrada",G2+D2,G2-D2)</f>
        <v>12286</v>
      </c>
      <c r="I2" s="4"/>
    </row>
    <row r="3" spans="1:9" x14ac:dyDescent="0.25">
      <c r="A3" s="3">
        <v>42006</v>
      </c>
      <c r="B3" s="3" t="s">
        <v>9</v>
      </c>
      <c r="C3" s="4" t="s">
        <v>17</v>
      </c>
      <c r="D3" s="1">
        <v>9228</v>
      </c>
      <c r="E3" s="4" t="s">
        <v>21</v>
      </c>
      <c r="F3" s="4" t="s">
        <v>19</v>
      </c>
      <c r="G3" s="5">
        <f>H2</f>
        <v>12286</v>
      </c>
      <c r="H3" s="5">
        <f>IF(C3="Entrada",G3+D3,G3-D3)</f>
        <v>3058</v>
      </c>
      <c r="I3" s="4"/>
    </row>
    <row r="4" spans="1:9" x14ac:dyDescent="0.25">
      <c r="A4" s="3">
        <v>42007</v>
      </c>
      <c r="B4" s="3" t="s">
        <v>9</v>
      </c>
      <c r="C4" s="4" t="s">
        <v>16</v>
      </c>
      <c r="D4" s="1">
        <v>8833</v>
      </c>
      <c r="E4" s="4" t="s">
        <v>22</v>
      </c>
      <c r="F4" s="4" t="s">
        <v>18</v>
      </c>
      <c r="G4" s="5">
        <f t="shared" ref="G4:G39" si="0">H3</f>
        <v>3058</v>
      </c>
      <c r="H4" s="5">
        <f t="shared" ref="H4:H39" si="1">IF(C4="Entrada",G4+D4,G4-D4)</f>
        <v>11891</v>
      </c>
      <c r="I4" s="4"/>
    </row>
    <row r="5" spans="1:9" x14ac:dyDescent="0.25">
      <c r="A5" s="3">
        <v>42008</v>
      </c>
      <c r="B5" s="3" t="s">
        <v>9</v>
      </c>
      <c r="C5" s="4" t="s">
        <v>16</v>
      </c>
      <c r="D5" s="1">
        <v>8387</v>
      </c>
      <c r="E5" s="4" t="s">
        <v>23</v>
      </c>
      <c r="F5" s="4" t="s">
        <v>18</v>
      </c>
      <c r="G5" s="5">
        <f t="shared" si="0"/>
        <v>11891</v>
      </c>
      <c r="H5" s="5">
        <f t="shared" si="1"/>
        <v>20278</v>
      </c>
      <c r="I5" s="4"/>
    </row>
    <row r="6" spans="1:9" x14ac:dyDescent="0.25">
      <c r="A6" s="3">
        <v>42009</v>
      </c>
      <c r="B6" s="3" t="s">
        <v>9</v>
      </c>
      <c r="C6" s="4" t="s">
        <v>16</v>
      </c>
      <c r="D6" s="1">
        <v>2099</v>
      </c>
      <c r="E6" s="4" t="s">
        <v>24</v>
      </c>
      <c r="F6" s="4" t="s">
        <v>18</v>
      </c>
      <c r="G6" s="5">
        <f t="shared" si="0"/>
        <v>20278</v>
      </c>
      <c r="H6" s="5">
        <f t="shared" si="1"/>
        <v>22377</v>
      </c>
      <c r="I6" s="4"/>
    </row>
    <row r="7" spans="1:9" x14ac:dyDescent="0.25">
      <c r="A7" s="3">
        <v>42010</v>
      </c>
      <c r="B7" s="3" t="s">
        <v>9</v>
      </c>
      <c r="C7" s="4" t="s">
        <v>17</v>
      </c>
      <c r="D7" s="1">
        <v>6741</v>
      </c>
      <c r="E7" s="4" t="s">
        <v>25</v>
      </c>
      <c r="F7" s="4" t="s">
        <v>18</v>
      </c>
      <c r="G7" s="5">
        <f t="shared" si="0"/>
        <v>22377</v>
      </c>
      <c r="H7" s="5">
        <f t="shared" si="1"/>
        <v>15636</v>
      </c>
      <c r="I7" s="4"/>
    </row>
    <row r="8" spans="1:9" x14ac:dyDescent="0.25">
      <c r="A8" s="3">
        <v>42011</v>
      </c>
      <c r="B8" s="3" t="s">
        <v>10</v>
      </c>
      <c r="C8" s="4" t="s">
        <v>16</v>
      </c>
      <c r="D8" s="1">
        <v>8694</v>
      </c>
      <c r="E8" s="4" t="s">
        <v>26</v>
      </c>
      <c r="F8" s="4" t="s">
        <v>18</v>
      </c>
      <c r="G8" s="5">
        <f t="shared" si="0"/>
        <v>15636</v>
      </c>
      <c r="H8" s="5">
        <f t="shared" si="1"/>
        <v>24330</v>
      </c>
      <c r="I8" s="4"/>
    </row>
    <row r="9" spans="1:9" x14ac:dyDescent="0.25">
      <c r="A9" s="3">
        <v>42012</v>
      </c>
      <c r="B9" s="3" t="s">
        <v>10</v>
      </c>
      <c r="C9" s="4" t="s">
        <v>17</v>
      </c>
      <c r="D9" s="1">
        <v>6167</v>
      </c>
      <c r="E9" s="4" t="s">
        <v>27</v>
      </c>
      <c r="F9" s="4" t="s">
        <v>18</v>
      </c>
      <c r="G9" s="5">
        <f t="shared" si="0"/>
        <v>24330</v>
      </c>
      <c r="H9" s="5">
        <f t="shared" si="1"/>
        <v>18163</v>
      </c>
      <c r="I9" s="4"/>
    </row>
    <row r="10" spans="1:9" x14ac:dyDescent="0.25">
      <c r="A10" s="3">
        <v>42013</v>
      </c>
      <c r="B10" s="3" t="s">
        <v>10</v>
      </c>
      <c r="C10" s="4" t="s">
        <v>17</v>
      </c>
      <c r="D10" s="1">
        <v>3512</v>
      </c>
      <c r="E10" s="4" t="s">
        <v>28</v>
      </c>
      <c r="F10" s="4" t="s">
        <v>18</v>
      </c>
      <c r="G10" s="5">
        <f t="shared" si="0"/>
        <v>18163</v>
      </c>
      <c r="H10" s="5">
        <f t="shared" si="1"/>
        <v>14651</v>
      </c>
      <c r="I10" s="4"/>
    </row>
    <row r="11" spans="1:9" x14ac:dyDescent="0.25">
      <c r="A11" s="3">
        <v>42014</v>
      </c>
      <c r="B11" s="3" t="s">
        <v>10</v>
      </c>
      <c r="C11" s="4" t="s">
        <v>17</v>
      </c>
      <c r="D11" s="1">
        <v>5665</v>
      </c>
      <c r="E11" s="4" t="s">
        <v>29</v>
      </c>
      <c r="F11" s="4" t="s">
        <v>18</v>
      </c>
      <c r="G11" s="5">
        <f t="shared" si="0"/>
        <v>14651</v>
      </c>
      <c r="H11" s="5">
        <f t="shared" si="1"/>
        <v>8986</v>
      </c>
      <c r="I11" s="4"/>
    </row>
    <row r="12" spans="1:9" x14ac:dyDescent="0.25">
      <c r="A12" s="3">
        <v>42015</v>
      </c>
      <c r="B12" s="3" t="s">
        <v>10</v>
      </c>
      <c r="C12" s="4" t="s">
        <v>17</v>
      </c>
      <c r="D12" s="1">
        <v>9126</v>
      </c>
      <c r="E12" s="4" t="s">
        <v>30</v>
      </c>
      <c r="F12" s="4" t="s">
        <v>18</v>
      </c>
      <c r="G12" s="5">
        <f t="shared" si="0"/>
        <v>8986</v>
      </c>
      <c r="H12" s="5">
        <f t="shared" si="1"/>
        <v>-140</v>
      </c>
      <c r="I12" s="4"/>
    </row>
    <row r="13" spans="1:9" x14ac:dyDescent="0.25">
      <c r="A13" s="3">
        <v>42016</v>
      </c>
      <c r="B13" s="3" t="s">
        <v>10</v>
      </c>
      <c r="C13" s="4" t="s">
        <v>17</v>
      </c>
      <c r="D13" s="1">
        <v>4163</v>
      </c>
      <c r="E13" s="4" t="s">
        <v>31</v>
      </c>
      <c r="F13" s="4" t="s">
        <v>18</v>
      </c>
      <c r="G13" s="5">
        <f t="shared" si="0"/>
        <v>-140</v>
      </c>
      <c r="H13" s="5">
        <f t="shared" si="1"/>
        <v>-4303</v>
      </c>
      <c r="I13" s="4"/>
    </row>
    <row r="14" spans="1:9" x14ac:dyDescent="0.25">
      <c r="A14" s="3">
        <v>42017</v>
      </c>
      <c r="B14" s="3" t="s">
        <v>10</v>
      </c>
      <c r="C14" s="4" t="s">
        <v>16</v>
      </c>
      <c r="D14" s="1">
        <v>19982</v>
      </c>
      <c r="E14" s="4" t="s">
        <v>32</v>
      </c>
      <c r="F14" s="4" t="s">
        <v>19</v>
      </c>
      <c r="G14" s="5">
        <f t="shared" si="0"/>
        <v>-4303</v>
      </c>
      <c r="H14" s="5">
        <f t="shared" si="1"/>
        <v>15679</v>
      </c>
      <c r="I14" s="4"/>
    </row>
    <row r="15" spans="1:9" x14ac:dyDescent="0.25">
      <c r="A15" s="3">
        <v>42018</v>
      </c>
      <c r="B15" s="3" t="s">
        <v>10</v>
      </c>
      <c r="C15" s="4" t="s">
        <v>16</v>
      </c>
      <c r="D15" s="1">
        <v>47388</v>
      </c>
      <c r="E15" s="4" t="s">
        <v>33</v>
      </c>
      <c r="F15" s="4" t="s">
        <v>18</v>
      </c>
      <c r="G15" s="5">
        <f t="shared" si="0"/>
        <v>15679</v>
      </c>
      <c r="H15" s="5">
        <f t="shared" si="1"/>
        <v>63067</v>
      </c>
      <c r="I15" s="4"/>
    </row>
    <row r="16" spans="1:9" x14ac:dyDescent="0.25">
      <c r="A16" s="3">
        <v>42019</v>
      </c>
      <c r="B16" s="3" t="s">
        <v>10</v>
      </c>
      <c r="C16" s="4" t="s">
        <v>16</v>
      </c>
      <c r="D16" s="1">
        <v>149974</v>
      </c>
      <c r="E16" s="4" t="s">
        <v>34</v>
      </c>
      <c r="F16" s="4" t="s">
        <v>19</v>
      </c>
      <c r="G16" s="5">
        <f t="shared" si="0"/>
        <v>63067</v>
      </c>
      <c r="H16" s="5">
        <f t="shared" si="1"/>
        <v>213041</v>
      </c>
      <c r="I16" s="4"/>
    </row>
    <row r="17" spans="1:9" x14ac:dyDescent="0.25">
      <c r="A17" s="3">
        <v>42020</v>
      </c>
      <c r="B17" s="3" t="s">
        <v>10</v>
      </c>
      <c r="C17" s="4" t="s">
        <v>16</v>
      </c>
      <c r="D17" s="1">
        <v>7380</v>
      </c>
      <c r="E17" s="4" t="s">
        <v>35</v>
      </c>
      <c r="F17" s="4" t="s">
        <v>19</v>
      </c>
      <c r="G17" s="5">
        <f t="shared" si="0"/>
        <v>213041</v>
      </c>
      <c r="H17" s="5">
        <f t="shared" si="1"/>
        <v>220421</v>
      </c>
      <c r="I17" s="4"/>
    </row>
    <row r="18" spans="1:9" x14ac:dyDescent="0.25">
      <c r="A18" s="3">
        <v>42021</v>
      </c>
      <c r="B18" s="3" t="s">
        <v>11</v>
      </c>
      <c r="C18" s="4" t="s">
        <v>16</v>
      </c>
      <c r="D18" s="1">
        <v>8901</v>
      </c>
      <c r="E18" s="4" t="s">
        <v>36</v>
      </c>
      <c r="F18" s="4" t="s">
        <v>18</v>
      </c>
      <c r="G18" s="5">
        <f t="shared" si="0"/>
        <v>220421</v>
      </c>
      <c r="H18" s="5">
        <f t="shared" si="1"/>
        <v>229322</v>
      </c>
      <c r="I18" s="4"/>
    </row>
    <row r="19" spans="1:9" x14ac:dyDescent="0.25">
      <c r="A19" s="3">
        <v>42022</v>
      </c>
      <c r="B19" s="3" t="s">
        <v>12</v>
      </c>
      <c r="C19" s="4" t="s">
        <v>16</v>
      </c>
      <c r="D19" s="1">
        <v>5569</v>
      </c>
      <c r="E19" s="4" t="s">
        <v>37</v>
      </c>
      <c r="F19" s="4" t="s">
        <v>18</v>
      </c>
      <c r="G19" s="5">
        <f t="shared" si="0"/>
        <v>229322</v>
      </c>
      <c r="H19" s="5">
        <f t="shared" si="1"/>
        <v>234891</v>
      </c>
      <c r="I19" s="4"/>
    </row>
    <row r="20" spans="1:9" x14ac:dyDescent="0.25">
      <c r="A20" s="3">
        <v>42023</v>
      </c>
      <c r="B20" s="3" t="s">
        <v>12</v>
      </c>
      <c r="C20" s="4" t="s">
        <v>16</v>
      </c>
      <c r="D20" s="1">
        <v>88906</v>
      </c>
      <c r="E20" s="4" t="s">
        <v>38</v>
      </c>
      <c r="F20" s="4" t="s">
        <v>18</v>
      </c>
      <c r="G20" s="5">
        <f t="shared" si="0"/>
        <v>234891</v>
      </c>
      <c r="H20" s="5">
        <f t="shared" si="1"/>
        <v>323797</v>
      </c>
      <c r="I20" s="4"/>
    </row>
    <row r="21" spans="1:9" x14ac:dyDescent="0.25">
      <c r="A21" s="3">
        <v>42024</v>
      </c>
      <c r="B21" s="3" t="s">
        <v>12</v>
      </c>
      <c r="C21" s="4" t="s">
        <v>17</v>
      </c>
      <c r="D21" s="1">
        <v>3405</v>
      </c>
      <c r="E21" s="4" t="s">
        <v>39</v>
      </c>
      <c r="F21" s="4" t="s">
        <v>18</v>
      </c>
      <c r="G21" s="5">
        <f t="shared" si="0"/>
        <v>323797</v>
      </c>
      <c r="H21" s="5">
        <f t="shared" si="1"/>
        <v>320392</v>
      </c>
      <c r="I21" s="4"/>
    </row>
    <row r="22" spans="1:9" x14ac:dyDescent="0.25">
      <c r="A22" s="3">
        <v>42025</v>
      </c>
      <c r="B22" s="3" t="s">
        <v>12</v>
      </c>
      <c r="C22" s="4" t="s">
        <v>16</v>
      </c>
      <c r="D22" s="1">
        <v>9326</v>
      </c>
      <c r="E22" s="4" t="s">
        <v>40</v>
      </c>
      <c r="F22" s="4" t="s">
        <v>18</v>
      </c>
      <c r="G22" s="5">
        <f t="shared" si="0"/>
        <v>320392</v>
      </c>
      <c r="H22" s="5">
        <f t="shared" si="1"/>
        <v>329718</v>
      </c>
      <c r="I22" s="4"/>
    </row>
    <row r="23" spans="1:9" x14ac:dyDescent="0.25">
      <c r="A23" s="3">
        <v>42026</v>
      </c>
      <c r="B23" s="3" t="s">
        <v>12</v>
      </c>
      <c r="C23" s="4" t="s">
        <v>16</v>
      </c>
      <c r="D23" s="1">
        <v>855</v>
      </c>
      <c r="E23" s="4" t="s">
        <v>41</v>
      </c>
      <c r="F23" s="4" t="s">
        <v>18</v>
      </c>
      <c r="G23" s="5">
        <f t="shared" si="0"/>
        <v>329718</v>
      </c>
      <c r="H23" s="5">
        <f t="shared" si="1"/>
        <v>330573</v>
      </c>
      <c r="I23" s="4"/>
    </row>
    <row r="24" spans="1:9" x14ac:dyDescent="0.25">
      <c r="A24" s="3">
        <v>42027</v>
      </c>
      <c r="B24" s="3" t="s">
        <v>12</v>
      </c>
      <c r="C24" s="4" t="s">
        <v>16</v>
      </c>
      <c r="D24" s="1">
        <v>19863</v>
      </c>
      <c r="E24" s="4" t="s">
        <v>42</v>
      </c>
      <c r="F24" s="4" t="s">
        <v>18</v>
      </c>
      <c r="G24" s="5">
        <f t="shared" si="0"/>
        <v>330573</v>
      </c>
      <c r="H24" s="5">
        <f t="shared" si="1"/>
        <v>350436</v>
      </c>
      <c r="I24" s="4"/>
    </row>
    <row r="25" spans="1:9" x14ac:dyDescent="0.25">
      <c r="A25" s="3">
        <v>42028</v>
      </c>
      <c r="B25" s="3" t="s">
        <v>15</v>
      </c>
      <c r="C25" s="4" t="s">
        <v>17</v>
      </c>
      <c r="D25" s="1">
        <v>2813</v>
      </c>
      <c r="E25" s="4" t="s">
        <v>43</v>
      </c>
      <c r="F25" s="4" t="s">
        <v>18</v>
      </c>
      <c r="G25" s="5">
        <f t="shared" si="0"/>
        <v>350436</v>
      </c>
      <c r="H25" s="5">
        <f t="shared" si="1"/>
        <v>347623</v>
      </c>
      <c r="I25" s="4"/>
    </row>
    <row r="26" spans="1:9" x14ac:dyDescent="0.25">
      <c r="A26" s="3">
        <v>42029</v>
      </c>
      <c r="B26" s="3" t="s">
        <v>15</v>
      </c>
      <c r="C26" s="4" t="s">
        <v>16</v>
      </c>
      <c r="D26" s="1">
        <v>31294</v>
      </c>
      <c r="E26" s="4" t="s">
        <v>44</v>
      </c>
      <c r="F26" s="4" t="s">
        <v>18</v>
      </c>
      <c r="G26" s="5">
        <f t="shared" si="0"/>
        <v>347623</v>
      </c>
      <c r="H26" s="5">
        <f t="shared" si="1"/>
        <v>378917</v>
      </c>
      <c r="I26" s="4"/>
    </row>
    <row r="27" spans="1:9" x14ac:dyDescent="0.25">
      <c r="A27" s="3">
        <v>42030</v>
      </c>
      <c r="B27" s="3" t="s">
        <v>15</v>
      </c>
      <c r="C27" s="4" t="s">
        <v>17</v>
      </c>
      <c r="D27" s="1">
        <v>6929</v>
      </c>
      <c r="E27" s="4" t="s">
        <v>45</v>
      </c>
      <c r="F27" s="4" t="s">
        <v>18</v>
      </c>
      <c r="G27" s="5">
        <f t="shared" si="0"/>
        <v>378917</v>
      </c>
      <c r="H27" s="5">
        <f t="shared" si="1"/>
        <v>371988</v>
      </c>
      <c r="I27" s="4"/>
    </row>
    <row r="28" spans="1:9" x14ac:dyDescent="0.25">
      <c r="A28" s="3">
        <v>42031</v>
      </c>
      <c r="B28" s="3" t="s">
        <v>15</v>
      </c>
      <c r="C28" s="4" t="s">
        <v>17</v>
      </c>
      <c r="D28" s="1">
        <v>9471</v>
      </c>
      <c r="E28" s="4" t="s">
        <v>46</v>
      </c>
      <c r="F28" s="4" t="s">
        <v>18</v>
      </c>
      <c r="G28" s="5">
        <f t="shared" si="0"/>
        <v>371988</v>
      </c>
      <c r="H28" s="5">
        <f t="shared" si="1"/>
        <v>362517</v>
      </c>
      <c r="I28" s="4"/>
    </row>
    <row r="29" spans="1:9" x14ac:dyDescent="0.25">
      <c r="A29" s="3">
        <v>42032</v>
      </c>
      <c r="B29" s="3" t="s">
        <v>15</v>
      </c>
      <c r="C29" s="4" t="s">
        <v>17</v>
      </c>
      <c r="D29" s="1">
        <v>3650</v>
      </c>
      <c r="E29" s="4" t="s">
        <v>47</v>
      </c>
      <c r="F29" s="4" t="s">
        <v>18</v>
      </c>
      <c r="G29" s="5">
        <f t="shared" si="0"/>
        <v>362517</v>
      </c>
      <c r="H29" s="5">
        <f t="shared" si="1"/>
        <v>358867</v>
      </c>
      <c r="I29" s="4"/>
    </row>
    <row r="30" spans="1:9" x14ac:dyDescent="0.25">
      <c r="A30" s="3">
        <v>42033</v>
      </c>
      <c r="B30" s="3" t="s">
        <v>15</v>
      </c>
      <c r="C30" s="4" t="s">
        <v>17</v>
      </c>
      <c r="D30" s="1">
        <v>4581</v>
      </c>
      <c r="E30" s="4" t="s">
        <v>48</v>
      </c>
      <c r="F30" s="4" t="s">
        <v>18</v>
      </c>
      <c r="G30" s="5">
        <f t="shared" si="0"/>
        <v>358867</v>
      </c>
      <c r="H30" s="5">
        <f t="shared" si="1"/>
        <v>354286</v>
      </c>
      <c r="I30" s="4"/>
    </row>
    <row r="31" spans="1:9" x14ac:dyDescent="0.25">
      <c r="A31" s="3">
        <v>42034</v>
      </c>
      <c r="B31" s="3" t="s">
        <v>15</v>
      </c>
      <c r="C31" s="4" t="s">
        <v>17</v>
      </c>
      <c r="D31" s="1">
        <v>11894</v>
      </c>
      <c r="E31" s="4" t="s">
        <v>49</v>
      </c>
      <c r="F31" s="4" t="s">
        <v>18</v>
      </c>
      <c r="G31" s="5">
        <f t="shared" si="0"/>
        <v>354286</v>
      </c>
      <c r="H31" s="5">
        <f t="shared" si="1"/>
        <v>342392</v>
      </c>
      <c r="I31" s="4"/>
    </row>
    <row r="32" spans="1:9" x14ac:dyDescent="0.25">
      <c r="A32" s="3">
        <v>42035</v>
      </c>
      <c r="B32" s="3" t="s">
        <v>15</v>
      </c>
      <c r="C32" s="4" t="s">
        <v>16</v>
      </c>
      <c r="D32" s="1">
        <v>9109</v>
      </c>
      <c r="E32" s="4" t="s">
        <v>50</v>
      </c>
      <c r="F32" s="4" t="s">
        <v>18</v>
      </c>
      <c r="G32" s="5">
        <f t="shared" si="0"/>
        <v>342392</v>
      </c>
      <c r="H32" s="5">
        <f t="shared" si="1"/>
        <v>351501</v>
      </c>
      <c r="I32" s="4"/>
    </row>
    <row r="33" spans="1:9" x14ac:dyDescent="0.25">
      <c r="A33" s="3">
        <v>42036</v>
      </c>
      <c r="B33" s="3" t="s">
        <v>15</v>
      </c>
      <c r="C33" s="4" t="s">
        <v>16</v>
      </c>
      <c r="D33" s="1">
        <v>44845</v>
      </c>
      <c r="E33" s="4" t="s">
        <v>51</v>
      </c>
      <c r="F33" s="4" t="s">
        <v>18</v>
      </c>
      <c r="G33" s="5">
        <f t="shared" si="0"/>
        <v>351501</v>
      </c>
      <c r="H33" s="5">
        <f t="shared" si="1"/>
        <v>396346</v>
      </c>
      <c r="I33" s="4"/>
    </row>
    <row r="34" spans="1:9" x14ac:dyDescent="0.25">
      <c r="A34" s="3">
        <v>42037</v>
      </c>
      <c r="B34" s="3" t="s">
        <v>9</v>
      </c>
      <c r="C34" s="4" t="s">
        <v>16</v>
      </c>
      <c r="D34" s="1">
        <v>3249</v>
      </c>
      <c r="E34" s="4" t="s">
        <v>52</v>
      </c>
      <c r="F34" s="4" t="s">
        <v>19</v>
      </c>
      <c r="G34" s="5">
        <f t="shared" si="0"/>
        <v>396346</v>
      </c>
      <c r="H34" s="5">
        <f t="shared" si="1"/>
        <v>399595</v>
      </c>
      <c r="I34" s="4"/>
    </row>
    <row r="35" spans="1:9" x14ac:dyDescent="0.25">
      <c r="A35" s="3">
        <v>42038</v>
      </c>
      <c r="B35" s="3" t="s">
        <v>9</v>
      </c>
      <c r="C35" s="4" t="s">
        <v>16</v>
      </c>
      <c r="D35" s="1">
        <v>29888</v>
      </c>
      <c r="E35" s="4" t="s">
        <v>53</v>
      </c>
      <c r="F35" s="4" t="s">
        <v>19</v>
      </c>
      <c r="G35" s="5">
        <f t="shared" si="0"/>
        <v>399595</v>
      </c>
      <c r="H35" s="5">
        <f t="shared" si="1"/>
        <v>429483</v>
      </c>
      <c r="I35" s="4"/>
    </row>
    <row r="36" spans="1:9" x14ac:dyDescent="0.25">
      <c r="A36" s="3">
        <v>42039</v>
      </c>
      <c r="B36" s="3" t="s">
        <v>9</v>
      </c>
      <c r="C36" s="4" t="s">
        <v>16</v>
      </c>
      <c r="D36" s="1">
        <v>8005</v>
      </c>
      <c r="E36" s="4" t="s">
        <v>54</v>
      </c>
      <c r="F36" s="4" t="s">
        <v>18</v>
      </c>
      <c r="G36" s="5">
        <f t="shared" si="0"/>
        <v>429483</v>
      </c>
      <c r="H36" s="5">
        <f t="shared" si="1"/>
        <v>437488</v>
      </c>
      <c r="I36" s="4"/>
    </row>
    <row r="37" spans="1:9" x14ac:dyDescent="0.25">
      <c r="A37" s="3">
        <v>42040</v>
      </c>
      <c r="B37" s="3" t="s">
        <v>9</v>
      </c>
      <c r="C37" s="4" t="s">
        <v>16</v>
      </c>
      <c r="D37" s="1">
        <v>7307</v>
      </c>
      <c r="E37" s="4" t="s">
        <v>55</v>
      </c>
      <c r="F37" s="4" t="s">
        <v>19</v>
      </c>
      <c r="G37" s="5">
        <f t="shared" si="0"/>
        <v>437488</v>
      </c>
      <c r="H37" s="5">
        <f t="shared" si="1"/>
        <v>444795</v>
      </c>
      <c r="I37" s="4"/>
    </row>
    <row r="38" spans="1:9" x14ac:dyDescent="0.25">
      <c r="A38" s="3">
        <v>42041</v>
      </c>
      <c r="B38" s="3" t="s">
        <v>9</v>
      </c>
      <c r="C38" s="4" t="s">
        <v>17</v>
      </c>
      <c r="D38" s="1">
        <v>4132</v>
      </c>
      <c r="E38" s="4" t="s">
        <v>56</v>
      </c>
      <c r="F38" s="4" t="s">
        <v>18</v>
      </c>
      <c r="G38" s="5">
        <f t="shared" si="0"/>
        <v>444795</v>
      </c>
      <c r="H38" s="5">
        <f t="shared" si="1"/>
        <v>440663</v>
      </c>
      <c r="I38" s="4"/>
    </row>
    <row r="39" spans="1:9" x14ac:dyDescent="0.25">
      <c r="A39" s="3">
        <v>42042</v>
      </c>
      <c r="B39" s="3" t="s">
        <v>9</v>
      </c>
      <c r="C39" s="4" t="s">
        <v>17</v>
      </c>
      <c r="D39" s="1">
        <v>7526</v>
      </c>
      <c r="E39" s="4" t="s">
        <v>57</v>
      </c>
      <c r="F39" s="4" t="s">
        <v>18</v>
      </c>
      <c r="G39" s="5">
        <f t="shared" si="0"/>
        <v>440663</v>
      </c>
      <c r="H39" s="5">
        <f t="shared" si="1"/>
        <v>433137</v>
      </c>
      <c r="I39" s="4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rgb="FFFFFF00"/>
  </sheetPr>
  <dimension ref="A1:H150"/>
  <sheetViews>
    <sheetView showGridLines="0" zoomScaleNormal="100" workbookViewId="0">
      <selection activeCell="A2" sqref="A2"/>
    </sheetView>
  </sheetViews>
  <sheetFormatPr defaultRowHeight="15" x14ac:dyDescent="0.25"/>
  <cols>
    <col min="1" max="1" width="14.5703125" customWidth="1"/>
    <col min="2" max="2" width="14" bestFit="1" customWidth="1"/>
    <col min="3" max="3" width="9" customWidth="1"/>
    <col min="4" max="4" width="16.5703125" customWidth="1"/>
    <col min="5" max="6" width="17.7109375" customWidth="1"/>
    <col min="7" max="7" width="16.140625" bestFit="1" customWidth="1"/>
    <col min="8" max="8" width="15.85546875" bestFit="1" customWidth="1"/>
  </cols>
  <sheetData>
    <row r="1" spans="1:8" x14ac:dyDescent="0.25">
      <c r="A1" s="2" t="s">
        <v>0</v>
      </c>
      <c r="B1" s="2" t="s">
        <v>8</v>
      </c>
      <c r="C1" s="2" t="s">
        <v>2</v>
      </c>
      <c r="D1" s="2" t="s">
        <v>7</v>
      </c>
      <c r="E1" s="2" t="s">
        <v>1</v>
      </c>
      <c r="F1" s="2" t="s">
        <v>6</v>
      </c>
      <c r="G1" s="2" t="s">
        <v>4</v>
      </c>
      <c r="H1" s="2" t="s">
        <v>5</v>
      </c>
    </row>
    <row r="2" spans="1:8" x14ac:dyDescent="0.25">
      <c r="A2" s="3">
        <v>42304</v>
      </c>
      <c r="B2" s="3" t="s">
        <v>9</v>
      </c>
      <c r="C2" s="4" t="s">
        <v>16</v>
      </c>
      <c r="D2" s="1">
        <v>7869</v>
      </c>
      <c r="E2" s="4" t="s">
        <v>20</v>
      </c>
      <c r="F2" s="4" t="s">
        <v>18</v>
      </c>
      <c r="G2" s="5">
        <v>23000</v>
      </c>
      <c r="H2" s="5">
        <f t="shared" ref="H2:H65" si="0">IF(C2="Entrada",G2+D2,G2-D2)</f>
        <v>30869</v>
      </c>
    </row>
    <row r="3" spans="1:8" x14ac:dyDescent="0.25">
      <c r="A3" s="3">
        <v>42304</v>
      </c>
      <c r="B3" s="3" t="s">
        <v>9</v>
      </c>
      <c r="C3" s="4" t="s">
        <v>16</v>
      </c>
      <c r="D3" s="1">
        <v>5111</v>
      </c>
      <c r="E3" s="4" t="s">
        <v>21</v>
      </c>
      <c r="F3" s="4" t="s">
        <v>18</v>
      </c>
      <c r="G3" s="5">
        <f t="shared" ref="G3:G66" si="1">H2</f>
        <v>30869</v>
      </c>
      <c r="H3" s="5">
        <f t="shared" si="0"/>
        <v>35980</v>
      </c>
    </row>
    <row r="4" spans="1:8" x14ac:dyDescent="0.25">
      <c r="A4" s="3">
        <v>42304</v>
      </c>
      <c r="B4" s="3" t="s">
        <v>9</v>
      </c>
      <c r="C4" s="4" t="s">
        <v>16</v>
      </c>
      <c r="D4" s="1">
        <v>9826</v>
      </c>
      <c r="E4" s="4" t="s">
        <v>22</v>
      </c>
      <c r="F4" s="4" t="s">
        <v>18</v>
      </c>
      <c r="G4" s="5">
        <f t="shared" si="1"/>
        <v>35980</v>
      </c>
      <c r="H4" s="5">
        <f t="shared" si="0"/>
        <v>45806</v>
      </c>
    </row>
    <row r="5" spans="1:8" x14ac:dyDescent="0.25">
      <c r="A5" s="3">
        <v>42304</v>
      </c>
      <c r="B5" s="3" t="s">
        <v>9</v>
      </c>
      <c r="C5" s="4" t="s">
        <v>16</v>
      </c>
      <c r="D5" s="1">
        <v>6784</v>
      </c>
      <c r="E5" s="4" t="s">
        <v>23</v>
      </c>
      <c r="F5" s="4" t="s">
        <v>18</v>
      </c>
      <c r="G5" s="5">
        <f t="shared" si="1"/>
        <v>45806</v>
      </c>
      <c r="H5" s="5">
        <f t="shared" si="0"/>
        <v>52590</v>
      </c>
    </row>
    <row r="6" spans="1:8" x14ac:dyDescent="0.25">
      <c r="A6" s="3">
        <v>42304</v>
      </c>
      <c r="B6" s="3" t="s">
        <v>9</v>
      </c>
      <c r="C6" s="4" t="s">
        <v>16</v>
      </c>
      <c r="D6" s="1">
        <v>4830</v>
      </c>
      <c r="E6" s="4" t="s">
        <v>24</v>
      </c>
      <c r="F6" s="4" t="s">
        <v>18</v>
      </c>
      <c r="G6" s="5">
        <f t="shared" si="1"/>
        <v>52590</v>
      </c>
      <c r="H6" s="5">
        <f t="shared" si="0"/>
        <v>57420</v>
      </c>
    </row>
    <row r="7" spans="1:8" x14ac:dyDescent="0.25">
      <c r="A7" s="3">
        <v>42304</v>
      </c>
      <c r="B7" s="3" t="s">
        <v>9</v>
      </c>
      <c r="C7" s="4" t="s">
        <v>16</v>
      </c>
      <c r="D7" s="1">
        <v>1531</v>
      </c>
      <c r="E7" s="4" t="s">
        <v>25</v>
      </c>
      <c r="F7" s="4" t="s">
        <v>18</v>
      </c>
      <c r="G7" s="5">
        <f t="shared" si="1"/>
        <v>57420</v>
      </c>
      <c r="H7" s="5">
        <f t="shared" si="0"/>
        <v>58951</v>
      </c>
    </row>
    <row r="8" spans="1:8" x14ac:dyDescent="0.25">
      <c r="A8" s="3">
        <v>42304</v>
      </c>
      <c r="B8" s="3" t="s">
        <v>9</v>
      </c>
      <c r="C8" s="4" t="s">
        <v>16</v>
      </c>
      <c r="D8" s="1">
        <v>2256</v>
      </c>
      <c r="E8" s="4" t="s">
        <v>26</v>
      </c>
      <c r="F8" s="4" t="s">
        <v>18</v>
      </c>
      <c r="G8" s="5">
        <f t="shared" si="1"/>
        <v>58951</v>
      </c>
      <c r="H8" s="5">
        <f t="shared" si="0"/>
        <v>61207</v>
      </c>
    </row>
    <row r="9" spans="1:8" x14ac:dyDescent="0.25">
      <c r="A9" s="3">
        <v>42304</v>
      </c>
      <c r="B9" s="3" t="s">
        <v>9</v>
      </c>
      <c r="C9" s="4" t="s">
        <v>17</v>
      </c>
      <c r="D9" s="1">
        <v>1674</v>
      </c>
      <c r="E9" s="4" t="s">
        <v>27</v>
      </c>
      <c r="F9" s="4" t="s">
        <v>18</v>
      </c>
      <c r="G9" s="5">
        <f t="shared" si="1"/>
        <v>61207</v>
      </c>
      <c r="H9" s="5">
        <f t="shared" si="0"/>
        <v>59533</v>
      </c>
    </row>
    <row r="10" spans="1:8" x14ac:dyDescent="0.25">
      <c r="A10" s="3">
        <v>42304</v>
      </c>
      <c r="B10" s="3" t="s">
        <v>9</v>
      </c>
      <c r="C10" s="4" t="s">
        <v>17</v>
      </c>
      <c r="D10" s="1">
        <v>8654</v>
      </c>
      <c r="E10" s="4" t="s">
        <v>28</v>
      </c>
      <c r="F10" s="4" t="s">
        <v>18</v>
      </c>
      <c r="G10" s="5">
        <f t="shared" si="1"/>
        <v>59533</v>
      </c>
      <c r="H10" s="5">
        <f t="shared" si="0"/>
        <v>50879</v>
      </c>
    </row>
    <row r="11" spans="1:8" x14ac:dyDescent="0.25">
      <c r="A11" s="3">
        <v>42304</v>
      </c>
      <c r="B11" s="3" t="s">
        <v>9</v>
      </c>
      <c r="C11" s="4" t="s">
        <v>17</v>
      </c>
      <c r="D11" s="1">
        <v>3514</v>
      </c>
      <c r="E11" s="4" t="s">
        <v>29</v>
      </c>
      <c r="F11" s="4" t="s">
        <v>18</v>
      </c>
      <c r="G11" s="5">
        <f t="shared" si="1"/>
        <v>50879</v>
      </c>
      <c r="H11" s="5">
        <f t="shared" si="0"/>
        <v>47365</v>
      </c>
    </row>
    <row r="12" spans="1:8" x14ac:dyDescent="0.25">
      <c r="A12" s="3">
        <v>42304</v>
      </c>
      <c r="B12" s="3" t="s">
        <v>9</v>
      </c>
      <c r="C12" s="4" t="s">
        <v>17</v>
      </c>
      <c r="D12" s="1">
        <v>9434</v>
      </c>
      <c r="E12" s="4" t="s">
        <v>30</v>
      </c>
      <c r="F12" s="4" t="s">
        <v>18</v>
      </c>
      <c r="G12" s="5">
        <f t="shared" si="1"/>
        <v>47365</v>
      </c>
      <c r="H12" s="5">
        <f t="shared" si="0"/>
        <v>37931</v>
      </c>
    </row>
    <row r="13" spans="1:8" x14ac:dyDescent="0.25">
      <c r="A13" s="3">
        <v>42304</v>
      </c>
      <c r="B13" s="3" t="s">
        <v>9</v>
      </c>
      <c r="C13" s="4" t="s">
        <v>17</v>
      </c>
      <c r="D13" s="1">
        <v>1409</v>
      </c>
      <c r="E13" s="4" t="s">
        <v>31</v>
      </c>
      <c r="F13" s="4" t="s">
        <v>18</v>
      </c>
      <c r="G13" s="5">
        <f t="shared" si="1"/>
        <v>37931</v>
      </c>
      <c r="H13" s="5">
        <f t="shared" si="0"/>
        <v>36522</v>
      </c>
    </row>
    <row r="14" spans="1:8" x14ac:dyDescent="0.25">
      <c r="A14" s="3">
        <v>42305</v>
      </c>
      <c r="B14" s="3" t="s">
        <v>10</v>
      </c>
      <c r="C14" s="4" t="s">
        <v>16</v>
      </c>
      <c r="D14" s="1">
        <v>6306</v>
      </c>
      <c r="E14" s="4" t="s">
        <v>35</v>
      </c>
      <c r="F14" s="4" t="s">
        <v>18</v>
      </c>
      <c r="G14" s="5">
        <f t="shared" si="1"/>
        <v>36522</v>
      </c>
      <c r="H14" s="5">
        <f t="shared" si="0"/>
        <v>42828</v>
      </c>
    </row>
    <row r="15" spans="1:8" x14ac:dyDescent="0.25">
      <c r="A15" s="3">
        <v>42305</v>
      </c>
      <c r="B15" s="3" t="s">
        <v>10</v>
      </c>
      <c r="C15" s="4" t="s">
        <v>17</v>
      </c>
      <c r="D15" s="1">
        <v>2786</v>
      </c>
      <c r="E15" s="4" t="s">
        <v>32</v>
      </c>
      <c r="F15" s="4" t="s">
        <v>18</v>
      </c>
      <c r="G15" s="5">
        <f t="shared" si="1"/>
        <v>42828</v>
      </c>
      <c r="H15" s="5">
        <f t="shared" si="0"/>
        <v>40042</v>
      </c>
    </row>
    <row r="16" spans="1:8" x14ac:dyDescent="0.25">
      <c r="A16" s="3">
        <v>42305</v>
      </c>
      <c r="B16" s="3" t="s">
        <v>10</v>
      </c>
      <c r="C16" s="4" t="s">
        <v>17</v>
      </c>
      <c r="D16" s="1">
        <v>8751</v>
      </c>
      <c r="E16" s="4" t="s">
        <v>33</v>
      </c>
      <c r="F16" s="4" t="s">
        <v>18</v>
      </c>
      <c r="G16" s="5">
        <f t="shared" si="1"/>
        <v>40042</v>
      </c>
      <c r="H16" s="5">
        <f t="shared" si="0"/>
        <v>31291</v>
      </c>
    </row>
    <row r="17" spans="1:8" x14ac:dyDescent="0.25">
      <c r="A17" s="3">
        <v>42305</v>
      </c>
      <c r="B17" s="3" t="s">
        <v>10</v>
      </c>
      <c r="C17" s="4" t="s">
        <v>17</v>
      </c>
      <c r="D17" s="1">
        <v>9595</v>
      </c>
      <c r="E17" s="4" t="s">
        <v>34</v>
      </c>
      <c r="F17" s="4" t="s">
        <v>18</v>
      </c>
      <c r="G17" s="5">
        <f t="shared" si="1"/>
        <v>31291</v>
      </c>
      <c r="H17" s="5">
        <f t="shared" si="0"/>
        <v>21696</v>
      </c>
    </row>
    <row r="18" spans="1:8" x14ac:dyDescent="0.25">
      <c r="A18" s="3">
        <v>42306</v>
      </c>
      <c r="B18" s="3" t="s">
        <v>11</v>
      </c>
      <c r="C18" s="4" t="s">
        <v>16</v>
      </c>
      <c r="D18" s="1">
        <v>1173</v>
      </c>
      <c r="E18" s="4" t="s">
        <v>36</v>
      </c>
      <c r="F18" s="4" t="s">
        <v>18</v>
      </c>
      <c r="G18" s="5">
        <f t="shared" si="1"/>
        <v>21696</v>
      </c>
      <c r="H18" s="5">
        <f t="shared" si="0"/>
        <v>22869</v>
      </c>
    </row>
    <row r="19" spans="1:8" x14ac:dyDescent="0.25">
      <c r="A19" s="3">
        <v>42306</v>
      </c>
      <c r="B19" s="3" t="s">
        <v>11</v>
      </c>
      <c r="C19" s="4" t="s">
        <v>16</v>
      </c>
      <c r="D19" s="1">
        <v>6729</v>
      </c>
      <c r="E19" s="4" t="s">
        <v>37</v>
      </c>
      <c r="F19" s="4" t="s">
        <v>18</v>
      </c>
      <c r="G19" s="5">
        <f t="shared" si="1"/>
        <v>22869</v>
      </c>
      <c r="H19" s="5">
        <f t="shared" si="0"/>
        <v>29598</v>
      </c>
    </row>
    <row r="20" spans="1:8" x14ac:dyDescent="0.25">
      <c r="A20" s="3">
        <v>42306</v>
      </c>
      <c r="B20" s="3" t="s">
        <v>11</v>
      </c>
      <c r="C20" s="4" t="s">
        <v>16</v>
      </c>
      <c r="D20" s="1">
        <v>832</v>
      </c>
      <c r="E20" s="4" t="s">
        <v>38</v>
      </c>
      <c r="F20" s="4" t="s">
        <v>18</v>
      </c>
      <c r="G20" s="5">
        <f t="shared" si="1"/>
        <v>29598</v>
      </c>
      <c r="H20" s="5">
        <f t="shared" si="0"/>
        <v>30430</v>
      </c>
    </row>
    <row r="21" spans="1:8" x14ac:dyDescent="0.25">
      <c r="A21" s="3">
        <v>42306</v>
      </c>
      <c r="B21" s="3" t="s">
        <v>11</v>
      </c>
      <c r="C21" s="4" t="s">
        <v>16</v>
      </c>
      <c r="D21" s="1">
        <v>11923</v>
      </c>
      <c r="E21" s="4" t="s">
        <v>40</v>
      </c>
      <c r="F21" s="4" t="s">
        <v>18</v>
      </c>
      <c r="G21" s="5">
        <f t="shared" si="1"/>
        <v>30430</v>
      </c>
      <c r="H21" s="5">
        <f t="shared" si="0"/>
        <v>42353</v>
      </c>
    </row>
    <row r="22" spans="1:8" x14ac:dyDescent="0.25">
      <c r="A22" s="3">
        <v>42306</v>
      </c>
      <c r="B22" s="3" t="s">
        <v>11</v>
      </c>
      <c r="C22" s="4" t="s">
        <v>17</v>
      </c>
      <c r="D22" s="1">
        <v>6723</v>
      </c>
      <c r="E22" s="4" t="s">
        <v>39</v>
      </c>
      <c r="F22" s="4" t="s">
        <v>18</v>
      </c>
      <c r="G22" s="5">
        <f t="shared" si="1"/>
        <v>42353</v>
      </c>
      <c r="H22" s="5">
        <f t="shared" si="0"/>
        <v>35630</v>
      </c>
    </row>
    <row r="23" spans="1:8" x14ac:dyDescent="0.25">
      <c r="A23" s="3">
        <v>42306</v>
      </c>
      <c r="B23" s="3" t="s">
        <v>11</v>
      </c>
      <c r="C23" s="4" t="s">
        <v>17</v>
      </c>
      <c r="D23" s="1">
        <v>1998</v>
      </c>
      <c r="E23" s="4" t="s">
        <v>41</v>
      </c>
      <c r="F23" s="4" t="s">
        <v>19</v>
      </c>
      <c r="G23" s="5">
        <f t="shared" si="1"/>
        <v>35630</v>
      </c>
      <c r="H23" s="5">
        <f t="shared" si="0"/>
        <v>33632</v>
      </c>
    </row>
    <row r="24" spans="1:8" x14ac:dyDescent="0.25">
      <c r="A24" s="3">
        <v>42307</v>
      </c>
      <c r="B24" s="3" t="s">
        <v>12</v>
      </c>
      <c r="C24" s="4" t="s">
        <v>16</v>
      </c>
      <c r="D24" s="1">
        <v>2311</v>
      </c>
      <c r="E24" s="4" t="s">
        <v>42</v>
      </c>
      <c r="F24" s="4" t="s">
        <v>18</v>
      </c>
      <c r="G24" s="5">
        <f t="shared" si="1"/>
        <v>33632</v>
      </c>
      <c r="H24" s="5">
        <f t="shared" si="0"/>
        <v>35943</v>
      </c>
    </row>
    <row r="25" spans="1:8" x14ac:dyDescent="0.25">
      <c r="A25" s="3">
        <v>42308</v>
      </c>
      <c r="B25" s="3" t="s">
        <v>13</v>
      </c>
      <c r="C25" s="4" t="s">
        <v>17</v>
      </c>
      <c r="D25" s="1">
        <v>2160</v>
      </c>
      <c r="E25" s="4" t="s">
        <v>43</v>
      </c>
      <c r="F25" s="4" t="s">
        <v>18</v>
      </c>
      <c r="G25" s="5">
        <f t="shared" si="1"/>
        <v>35943</v>
      </c>
      <c r="H25" s="5">
        <f t="shared" si="0"/>
        <v>33783</v>
      </c>
    </row>
    <row r="26" spans="1:8" x14ac:dyDescent="0.25">
      <c r="A26" s="3">
        <v>42309</v>
      </c>
      <c r="B26" s="3" t="s">
        <v>14</v>
      </c>
      <c r="C26" s="4" t="s">
        <v>16</v>
      </c>
      <c r="D26" s="1">
        <v>6115</v>
      </c>
      <c r="E26" s="4" t="s">
        <v>44</v>
      </c>
      <c r="F26" s="4" t="s">
        <v>18</v>
      </c>
      <c r="G26" s="5">
        <f t="shared" si="1"/>
        <v>33783</v>
      </c>
      <c r="H26" s="5">
        <f t="shared" si="0"/>
        <v>39898</v>
      </c>
    </row>
    <row r="27" spans="1:8" x14ac:dyDescent="0.25">
      <c r="A27" s="3">
        <v>42310</v>
      </c>
      <c r="B27" s="3" t="s">
        <v>15</v>
      </c>
      <c r="C27" s="4" t="s">
        <v>17</v>
      </c>
      <c r="D27" s="1">
        <v>4963</v>
      </c>
      <c r="E27" s="4" t="s">
        <v>45</v>
      </c>
      <c r="F27" s="4" t="s">
        <v>18</v>
      </c>
      <c r="G27" s="5">
        <f t="shared" si="1"/>
        <v>39898</v>
      </c>
      <c r="H27" s="5">
        <f t="shared" si="0"/>
        <v>34935</v>
      </c>
    </row>
    <row r="28" spans="1:8" x14ac:dyDescent="0.25">
      <c r="A28" s="3">
        <v>42311</v>
      </c>
      <c r="B28" s="3" t="s">
        <v>9</v>
      </c>
      <c r="C28" s="4" t="s">
        <v>17</v>
      </c>
      <c r="D28" s="1">
        <v>9989</v>
      </c>
      <c r="E28" s="4" t="s">
        <v>46</v>
      </c>
      <c r="F28" s="4" t="s">
        <v>18</v>
      </c>
      <c r="G28" s="5">
        <f t="shared" si="1"/>
        <v>34935</v>
      </c>
      <c r="H28" s="5">
        <f t="shared" si="0"/>
        <v>24946</v>
      </c>
    </row>
    <row r="29" spans="1:8" x14ac:dyDescent="0.25">
      <c r="A29" s="3">
        <v>42312</v>
      </c>
      <c r="B29" s="3" t="s">
        <v>10</v>
      </c>
      <c r="C29" s="4" t="s">
        <v>17</v>
      </c>
      <c r="D29" s="1">
        <v>7339</v>
      </c>
      <c r="E29" s="4" t="s">
        <v>47</v>
      </c>
      <c r="F29" s="4" t="s">
        <v>18</v>
      </c>
      <c r="G29" s="5">
        <f t="shared" si="1"/>
        <v>24946</v>
      </c>
      <c r="H29" s="5">
        <f t="shared" si="0"/>
        <v>17607</v>
      </c>
    </row>
    <row r="30" spans="1:8" x14ac:dyDescent="0.25">
      <c r="A30" s="3">
        <v>42313</v>
      </c>
      <c r="B30" s="3" t="s">
        <v>11</v>
      </c>
      <c r="C30" s="4" t="s">
        <v>16</v>
      </c>
      <c r="D30" s="1">
        <v>23062</v>
      </c>
      <c r="E30" s="4" t="s">
        <v>50</v>
      </c>
      <c r="F30" s="4" t="s">
        <v>19</v>
      </c>
      <c r="G30" s="5">
        <f t="shared" si="1"/>
        <v>17607</v>
      </c>
      <c r="H30" s="5">
        <f t="shared" si="0"/>
        <v>40669</v>
      </c>
    </row>
    <row r="31" spans="1:8" x14ac:dyDescent="0.25">
      <c r="A31" s="3">
        <v>42313</v>
      </c>
      <c r="B31" s="3" t="s">
        <v>11</v>
      </c>
      <c r="C31" s="4" t="s">
        <v>16</v>
      </c>
      <c r="D31" s="1">
        <v>131</v>
      </c>
      <c r="E31" s="4" t="s">
        <v>51</v>
      </c>
      <c r="F31" s="4" t="s">
        <v>18</v>
      </c>
      <c r="G31" s="5">
        <f t="shared" si="1"/>
        <v>40669</v>
      </c>
      <c r="H31" s="5">
        <f t="shared" si="0"/>
        <v>40800</v>
      </c>
    </row>
    <row r="32" spans="1:8" x14ac:dyDescent="0.25">
      <c r="A32" s="3">
        <v>42313</v>
      </c>
      <c r="B32" s="3" t="s">
        <v>11</v>
      </c>
      <c r="C32" s="4" t="s">
        <v>16</v>
      </c>
      <c r="D32" s="1">
        <v>8091</v>
      </c>
      <c r="E32" s="4" t="s">
        <v>52</v>
      </c>
      <c r="F32" s="4" t="s">
        <v>18</v>
      </c>
      <c r="G32" s="5">
        <f t="shared" si="1"/>
        <v>40800</v>
      </c>
      <c r="H32" s="5">
        <f t="shared" si="0"/>
        <v>48891</v>
      </c>
    </row>
    <row r="33" spans="1:8" x14ac:dyDescent="0.25">
      <c r="A33" s="3">
        <v>42313</v>
      </c>
      <c r="B33" s="3" t="s">
        <v>11</v>
      </c>
      <c r="C33" s="4" t="s">
        <v>16</v>
      </c>
      <c r="D33" s="1">
        <v>13537</v>
      </c>
      <c r="E33" s="4" t="s">
        <v>53</v>
      </c>
      <c r="F33" s="4" t="s">
        <v>18</v>
      </c>
      <c r="G33" s="5">
        <f t="shared" si="1"/>
        <v>48891</v>
      </c>
      <c r="H33" s="5">
        <f t="shared" si="0"/>
        <v>62428</v>
      </c>
    </row>
    <row r="34" spans="1:8" x14ac:dyDescent="0.25">
      <c r="A34" s="3">
        <v>42313</v>
      </c>
      <c r="B34" s="3" t="s">
        <v>11</v>
      </c>
      <c r="C34" s="4" t="s">
        <v>16</v>
      </c>
      <c r="D34" s="1">
        <v>2550</v>
      </c>
      <c r="E34" s="4" t="s">
        <v>54</v>
      </c>
      <c r="F34" s="4" t="s">
        <v>19</v>
      </c>
      <c r="G34" s="5">
        <f t="shared" si="1"/>
        <v>62428</v>
      </c>
      <c r="H34" s="5">
        <f t="shared" si="0"/>
        <v>64978</v>
      </c>
    </row>
    <row r="35" spans="1:8" x14ac:dyDescent="0.25">
      <c r="A35" s="3">
        <v>42313</v>
      </c>
      <c r="B35" s="3" t="s">
        <v>11</v>
      </c>
      <c r="C35" s="4" t="s">
        <v>16</v>
      </c>
      <c r="D35" s="1">
        <v>1351</v>
      </c>
      <c r="E35" s="4" t="s">
        <v>55</v>
      </c>
      <c r="F35" s="4" t="s">
        <v>18</v>
      </c>
      <c r="G35" s="5">
        <f t="shared" si="1"/>
        <v>64978</v>
      </c>
      <c r="H35" s="5">
        <f t="shared" si="0"/>
        <v>66329</v>
      </c>
    </row>
    <row r="36" spans="1:8" x14ac:dyDescent="0.25">
      <c r="A36" s="3">
        <v>42313</v>
      </c>
      <c r="B36" s="3" t="s">
        <v>11</v>
      </c>
      <c r="C36" s="4" t="s">
        <v>16</v>
      </c>
      <c r="D36" s="1">
        <v>452.5</v>
      </c>
      <c r="E36" s="4" t="s">
        <v>85</v>
      </c>
      <c r="F36" s="4" t="s">
        <v>19</v>
      </c>
      <c r="G36" s="5">
        <f t="shared" si="1"/>
        <v>66329</v>
      </c>
      <c r="H36" s="5">
        <f t="shared" si="0"/>
        <v>66781.5</v>
      </c>
    </row>
    <row r="37" spans="1:8" x14ac:dyDescent="0.25">
      <c r="A37" s="3">
        <v>42313</v>
      </c>
      <c r="B37" s="3" t="s">
        <v>11</v>
      </c>
      <c r="C37" s="4" t="s">
        <v>17</v>
      </c>
      <c r="D37" s="1">
        <v>6.9000000000000901</v>
      </c>
      <c r="E37" s="4" t="s">
        <v>86</v>
      </c>
      <c r="F37" s="4" t="s">
        <v>19</v>
      </c>
      <c r="G37" s="5">
        <f t="shared" si="1"/>
        <v>66781.5</v>
      </c>
      <c r="H37" s="5">
        <f t="shared" si="0"/>
        <v>66774.600000000006</v>
      </c>
    </row>
    <row r="38" spans="1:8" x14ac:dyDescent="0.25">
      <c r="A38" s="3">
        <v>42313</v>
      </c>
      <c r="B38" s="3" t="s">
        <v>11</v>
      </c>
      <c r="C38" s="4" t="s">
        <v>16</v>
      </c>
      <c r="D38" s="1">
        <v>1329</v>
      </c>
      <c r="E38" s="4" t="s">
        <v>88</v>
      </c>
      <c r="F38" s="4" t="s">
        <v>19</v>
      </c>
      <c r="G38" s="5">
        <f t="shared" si="1"/>
        <v>66774.600000000006</v>
      </c>
      <c r="H38" s="5">
        <f t="shared" si="0"/>
        <v>68103.600000000006</v>
      </c>
    </row>
    <row r="39" spans="1:8" x14ac:dyDescent="0.25">
      <c r="A39" s="3">
        <v>42313</v>
      </c>
      <c r="B39" s="3" t="s">
        <v>11</v>
      </c>
      <c r="C39" s="4" t="s">
        <v>16</v>
      </c>
      <c r="D39" s="1">
        <v>1775.9</v>
      </c>
      <c r="E39" s="4" t="s">
        <v>89</v>
      </c>
      <c r="F39" s="4" t="s">
        <v>19</v>
      </c>
      <c r="G39" s="5">
        <f t="shared" si="1"/>
        <v>68103.600000000006</v>
      </c>
      <c r="H39" s="5">
        <f t="shared" si="0"/>
        <v>69879.5</v>
      </c>
    </row>
    <row r="40" spans="1:8" x14ac:dyDescent="0.25">
      <c r="A40" s="3">
        <v>42313</v>
      </c>
      <c r="B40" s="3" t="s">
        <v>11</v>
      </c>
      <c r="C40" s="4" t="s">
        <v>16</v>
      </c>
      <c r="D40" s="1">
        <v>3112.65</v>
      </c>
      <c r="E40" s="4" t="s">
        <v>91</v>
      </c>
      <c r="F40" s="4" t="s">
        <v>19</v>
      </c>
      <c r="G40" s="5">
        <f t="shared" si="1"/>
        <v>69879.5</v>
      </c>
      <c r="H40" s="5">
        <f t="shared" si="0"/>
        <v>72992.149999999994</v>
      </c>
    </row>
    <row r="41" spans="1:8" x14ac:dyDescent="0.25">
      <c r="A41" s="3">
        <v>42313</v>
      </c>
      <c r="B41" s="3" t="s">
        <v>11</v>
      </c>
      <c r="C41" s="4" t="s">
        <v>17</v>
      </c>
      <c r="D41" s="1">
        <v>3557.98</v>
      </c>
      <c r="E41" s="4" t="s">
        <v>92</v>
      </c>
      <c r="F41" s="4" t="s">
        <v>18</v>
      </c>
      <c r="G41" s="5">
        <f t="shared" si="1"/>
        <v>72992.149999999994</v>
      </c>
      <c r="H41" s="5">
        <f t="shared" si="0"/>
        <v>69434.17</v>
      </c>
    </row>
    <row r="42" spans="1:8" x14ac:dyDescent="0.25">
      <c r="A42" s="3">
        <v>42313</v>
      </c>
      <c r="B42" s="3" t="s">
        <v>11</v>
      </c>
      <c r="C42" s="4" t="s">
        <v>16</v>
      </c>
      <c r="D42" s="1">
        <v>4895.4606666666696</v>
      </c>
      <c r="E42" s="4" t="s">
        <v>94</v>
      </c>
      <c r="F42" s="4" t="s">
        <v>19</v>
      </c>
      <c r="G42" s="5">
        <f t="shared" si="1"/>
        <v>69434.17</v>
      </c>
      <c r="H42" s="5">
        <f t="shared" si="0"/>
        <v>74329.630666666664</v>
      </c>
    </row>
    <row r="43" spans="1:8" x14ac:dyDescent="0.25">
      <c r="A43" s="3">
        <v>42313</v>
      </c>
      <c r="B43" s="3" t="s">
        <v>11</v>
      </c>
      <c r="C43" s="4" t="s">
        <v>16</v>
      </c>
      <c r="D43" s="1">
        <v>5341.1986666666699</v>
      </c>
      <c r="E43" s="4" t="s">
        <v>95</v>
      </c>
      <c r="F43" s="4" t="s">
        <v>19</v>
      </c>
      <c r="G43" s="5">
        <f t="shared" si="1"/>
        <v>74329.630666666664</v>
      </c>
      <c r="H43" s="5">
        <f t="shared" si="0"/>
        <v>79670.829333333328</v>
      </c>
    </row>
    <row r="44" spans="1:8" x14ac:dyDescent="0.25">
      <c r="A44" s="3">
        <v>42313</v>
      </c>
      <c r="B44" s="3" t="s">
        <v>11</v>
      </c>
      <c r="C44" s="4" t="s">
        <v>16</v>
      </c>
      <c r="D44" s="1">
        <v>6678.4126666666698</v>
      </c>
      <c r="E44" s="4" t="s">
        <v>97</v>
      </c>
      <c r="F44" s="4" t="s">
        <v>19</v>
      </c>
      <c r="G44" s="5">
        <f t="shared" si="1"/>
        <v>79670.829333333328</v>
      </c>
      <c r="H44" s="5">
        <f t="shared" si="0"/>
        <v>86349.241999999998</v>
      </c>
    </row>
    <row r="45" spans="1:8" x14ac:dyDescent="0.25">
      <c r="A45" s="3">
        <v>42313</v>
      </c>
      <c r="B45" s="3" t="s">
        <v>11</v>
      </c>
      <c r="C45" s="4" t="s">
        <v>16</v>
      </c>
      <c r="D45" s="1">
        <v>7124.1506666666701</v>
      </c>
      <c r="E45" s="4" t="s">
        <v>98</v>
      </c>
      <c r="F45" s="4" t="s">
        <v>19</v>
      </c>
      <c r="G45" s="5">
        <f t="shared" si="1"/>
        <v>86349.241999999998</v>
      </c>
      <c r="H45" s="5">
        <f t="shared" si="0"/>
        <v>93473.392666666667</v>
      </c>
    </row>
    <row r="46" spans="1:8" x14ac:dyDescent="0.25">
      <c r="A46" s="3">
        <v>42313</v>
      </c>
      <c r="B46" s="3" t="s">
        <v>11</v>
      </c>
      <c r="C46" s="4" t="s">
        <v>16</v>
      </c>
      <c r="D46" s="1">
        <v>8461.36466666667</v>
      </c>
      <c r="E46" s="4" t="s">
        <v>100</v>
      </c>
      <c r="F46" s="4" t="s">
        <v>18</v>
      </c>
      <c r="G46" s="5">
        <f t="shared" si="1"/>
        <v>93473.392666666667</v>
      </c>
      <c r="H46" s="5">
        <f t="shared" si="0"/>
        <v>101934.75733333334</v>
      </c>
    </row>
    <row r="47" spans="1:8" x14ac:dyDescent="0.25">
      <c r="A47" s="3">
        <v>42313</v>
      </c>
      <c r="B47" s="3" t="s">
        <v>11</v>
      </c>
      <c r="C47" s="4" t="s">
        <v>16</v>
      </c>
      <c r="D47" s="1">
        <v>8907.1026666666694</v>
      </c>
      <c r="E47" s="4" t="s">
        <v>101</v>
      </c>
      <c r="F47" s="4" t="s">
        <v>19</v>
      </c>
      <c r="G47" s="5">
        <f t="shared" si="1"/>
        <v>101934.75733333334</v>
      </c>
      <c r="H47" s="5">
        <f t="shared" si="0"/>
        <v>110841.86000000002</v>
      </c>
    </row>
    <row r="48" spans="1:8" x14ac:dyDescent="0.25">
      <c r="A48" s="3">
        <v>42313</v>
      </c>
      <c r="B48" s="3" t="s">
        <v>11</v>
      </c>
      <c r="C48" s="4" t="s">
        <v>16</v>
      </c>
      <c r="D48" s="1">
        <v>10244.3166666667</v>
      </c>
      <c r="E48" s="4" t="s">
        <v>103</v>
      </c>
      <c r="F48" s="4" t="s">
        <v>19</v>
      </c>
      <c r="G48" s="5">
        <f t="shared" si="1"/>
        <v>110841.86000000002</v>
      </c>
      <c r="H48" s="5">
        <f t="shared" si="0"/>
        <v>121086.17666666671</v>
      </c>
    </row>
    <row r="49" spans="1:8" x14ac:dyDescent="0.25">
      <c r="A49" s="3">
        <v>42313</v>
      </c>
      <c r="B49" s="3" t="s">
        <v>11</v>
      </c>
      <c r="C49" s="4" t="s">
        <v>16</v>
      </c>
      <c r="D49" s="1">
        <v>10690.0546666667</v>
      </c>
      <c r="E49" s="4" t="s">
        <v>104</v>
      </c>
      <c r="F49" s="4" t="s">
        <v>19</v>
      </c>
      <c r="G49" s="5">
        <f t="shared" si="1"/>
        <v>121086.17666666671</v>
      </c>
      <c r="H49" s="5">
        <f t="shared" si="0"/>
        <v>131776.23133333342</v>
      </c>
    </row>
    <row r="50" spans="1:8" x14ac:dyDescent="0.25">
      <c r="A50" s="3">
        <v>42313</v>
      </c>
      <c r="B50" s="3" t="s">
        <v>11</v>
      </c>
      <c r="C50" s="4" t="s">
        <v>17</v>
      </c>
      <c r="D50" s="1">
        <v>12027.2686666667</v>
      </c>
      <c r="E50" s="4" t="s">
        <v>106</v>
      </c>
      <c r="F50" s="4" t="s">
        <v>19</v>
      </c>
      <c r="G50" s="5">
        <f t="shared" si="1"/>
        <v>131776.23133333342</v>
      </c>
      <c r="H50" s="5">
        <f t="shared" si="0"/>
        <v>119748.96266666672</v>
      </c>
    </row>
    <row r="51" spans="1:8" x14ac:dyDescent="0.25">
      <c r="A51" s="3">
        <v>42313</v>
      </c>
      <c r="B51" s="3" t="s">
        <v>11</v>
      </c>
      <c r="C51" s="4" t="s">
        <v>16</v>
      </c>
      <c r="D51" s="1">
        <v>12473.006666666701</v>
      </c>
      <c r="E51" s="4" t="s">
        <v>107</v>
      </c>
      <c r="F51" s="4" t="s">
        <v>19</v>
      </c>
      <c r="G51" s="5">
        <f t="shared" si="1"/>
        <v>119748.96266666672</v>
      </c>
      <c r="H51" s="5">
        <f t="shared" si="0"/>
        <v>132221.96933333343</v>
      </c>
    </row>
    <row r="52" spans="1:8" x14ac:dyDescent="0.25">
      <c r="A52" s="3">
        <v>42313</v>
      </c>
      <c r="B52" s="3" t="s">
        <v>11</v>
      </c>
      <c r="C52" s="4" t="s">
        <v>16</v>
      </c>
      <c r="D52" s="1">
        <v>13810.220666666701</v>
      </c>
      <c r="E52" s="4" t="s">
        <v>109</v>
      </c>
      <c r="F52" s="4" t="s">
        <v>19</v>
      </c>
      <c r="G52" s="5">
        <f t="shared" si="1"/>
        <v>132221.96933333343</v>
      </c>
      <c r="H52" s="5">
        <f t="shared" si="0"/>
        <v>146032.19000000012</v>
      </c>
    </row>
    <row r="53" spans="1:8" x14ac:dyDescent="0.25">
      <c r="A53" s="3">
        <v>42313</v>
      </c>
      <c r="B53" s="3" t="s">
        <v>11</v>
      </c>
      <c r="C53" s="4" t="s">
        <v>16</v>
      </c>
      <c r="D53" s="1">
        <v>14255.9586666667</v>
      </c>
      <c r="E53" s="4" t="s">
        <v>110</v>
      </c>
      <c r="F53" s="4" t="s">
        <v>18</v>
      </c>
      <c r="G53" s="5">
        <f t="shared" si="1"/>
        <v>146032.19000000012</v>
      </c>
      <c r="H53" s="5">
        <f t="shared" si="0"/>
        <v>160288.14866666682</v>
      </c>
    </row>
    <row r="54" spans="1:8" x14ac:dyDescent="0.25">
      <c r="A54" s="3">
        <v>42313</v>
      </c>
      <c r="B54" s="3" t="s">
        <v>11</v>
      </c>
      <c r="C54" s="4" t="s">
        <v>16</v>
      </c>
      <c r="D54" s="1">
        <v>15593.1726666667</v>
      </c>
      <c r="E54" s="4" t="s">
        <v>112</v>
      </c>
      <c r="F54" s="4" t="s">
        <v>19</v>
      </c>
      <c r="G54" s="5">
        <f t="shared" si="1"/>
        <v>160288.14866666682</v>
      </c>
      <c r="H54" s="5">
        <f t="shared" si="0"/>
        <v>175881.32133333353</v>
      </c>
    </row>
    <row r="55" spans="1:8" x14ac:dyDescent="0.25">
      <c r="A55" s="3">
        <v>42313</v>
      </c>
      <c r="B55" s="3" t="s">
        <v>11</v>
      </c>
      <c r="C55" s="4" t="s">
        <v>16</v>
      </c>
      <c r="D55" s="1">
        <v>16038.910666666699</v>
      </c>
      <c r="E55" s="4" t="s">
        <v>113</v>
      </c>
      <c r="F55" s="4" t="s">
        <v>19</v>
      </c>
      <c r="G55" s="5">
        <f t="shared" si="1"/>
        <v>175881.32133333353</v>
      </c>
      <c r="H55" s="5">
        <f t="shared" si="0"/>
        <v>191920.23200000022</v>
      </c>
    </row>
    <row r="56" spans="1:8" x14ac:dyDescent="0.25">
      <c r="A56" s="3">
        <v>42313</v>
      </c>
      <c r="B56" s="3" t="s">
        <v>11</v>
      </c>
      <c r="C56" s="4" t="s">
        <v>16</v>
      </c>
      <c r="D56" s="1">
        <v>17376.124666666699</v>
      </c>
      <c r="E56" s="4" t="s">
        <v>115</v>
      </c>
      <c r="F56" s="4" t="s">
        <v>19</v>
      </c>
      <c r="G56" s="5">
        <f t="shared" si="1"/>
        <v>191920.23200000022</v>
      </c>
      <c r="H56" s="5">
        <f t="shared" si="0"/>
        <v>209296.35666666692</v>
      </c>
    </row>
    <row r="57" spans="1:8" x14ac:dyDescent="0.25">
      <c r="A57" s="3">
        <v>42313</v>
      </c>
      <c r="B57" s="3" t="s">
        <v>11</v>
      </c>
      <c r="C57" s="4" t="s">
        <v>16</v>
      </c>
      <c r="D57" s="1">
        <v>17821.862666666701</v>
      </c>
      <c r="E57" s="4" t="s">
        <v>116</v>
      </c>
      <c r="F57" s="4" t="s">
        <v>19</v>
      </c>
      <c r="G57" s="5">
        <f t="shared" si="1"/>
        <v>209296.35666666692</v>
      </c>
      <c r="H57" s="5">
        <f t="shared" si="0"/>
        <v>227118.21933333363</v>
      </c>
    </row>
    <row r="58" spans="1:8" x14ac:dyDescent="0.25">
      <c r="A58" s="3">
        <v>42313</v>
      </c>
      <c r="B58" s="3" t="s">
        <v>11</v>
      </c>
      <c r="C58" s="4" t="s">
        <v>16</v>
      </c>
      <c r="D58" s="1">
        <v>19159.0766666667</v>
      </c>
      <c r="E58" s="4" t="s">
        <v>118</v>
      </c>
      <c r="F58" s="4" t="s">
        <v>18</v>
      </c>
      <c r="G58" s="5">
        <f t="shared" si="1"/>
        <v>227118.21933333363</v>
      </c>
      <c r="H58" s="5">
        <f t="shared" si="0"/>
        <v>246277.29600000032</v>
      </c>
    </row>
    <row r="59" spans="1:8" x14ac:dyDescent="0.25">
      <c r="A59" s="3">
        <v>42313</v>
      </c>
      <c r="B59" s="3" t="s">
        <v>11</v>
      </c>
      <c r="C59" s="4" t="s">
        <v>16</v>
      </c>
      <c r="D59" s="1">
        <v>19604.814666666702</v>
      </c>
      <c r="E59" s="4" t="s">
        <v>119</v>
      </c>
      <c r="F59" s="4" t="s">
        <v>18</v>
      </c>
      <c r="G59" s="5">
        <f t="shared" si="1"/>
        <v>246277.29600000032</v>
      </c>
      <c r="H59" s="5">
        <f t="shared" si="0"/>
        <v>265882.11066666699</v>
      </c>
    </row>
    <row r="60" spans="1:8" x14ac:dyDescent="0.25">
      <c r="A60" s="3">
        <v>42313</v>
      </c>
      <c r="B60" s="3" t="s">
        <v>11</v>
      </c>
      <c r="C60" s="4" t="s">
        <v>17</v>
      </c>
      <c r="D60" s="1">
        <v>20942.028666666702</v>
      </c>
      <c r="E60" s="4" t="s">
        <v>121</v>
      </c>
      <c r="F60" s="4" t="s">
        <v>19</v>
      </c>
      <c r="G60" s="5">
        <f t="shared" si="1"/>
        <v>265882.11066666699</v>
      </c>
      <c r="H60" s="5">
        <f t="shared" si="0"/>
        <v>244940.08200000029</v>
      </c>
    </row>
    <row r="61" spans="1:8" x14ac:dyDescent="0.25">
      <c r="A61" s="3">
        <v>42313</v>
      </c>
      <c r="B61" s="3" t="s">
        <v>11</v>
      </c>
      <c r="C61" s="4" t="s">
        <v>16</v>
      </c>
      <c r="D61" s="1">
        <v>21387.766666666699</v>
      </c>
      <c r="E61" s="4" t="s">
        <v>122</v>
      </c>
      <c r="F61" s="4" t="s">
        <v>19</v>
      </c>
      <c r="G61" s="5">
        <f t="shared" si="1"/>
        <v>244940.08200000029</v>
      </c>
      <c r="H61" s="5">
        <f t="shared" si="0"/>
        <v>266327.84866666701</v>
      </c>
    </row>
    <row r="62" spans="1:8" x14ac:dyDescent="0.25">
      <c r="A62" s="3">
        <v>42313</v>
      </c>
      <c r="B62" s="3" t="s">
        <v>11</v>
      </c>
      <c r="C62" s="4" t="s">
        <v>16</v>
      </c>
      <c r="D62" s="1">
        <v>22724.980666666699</v>
      </c>
      <c r="E62" s="4" t="s">
        <v>123</v>
      </c>
      <c r="F62" s="4" t="s">
        <v>19</v>
      </c>
      <c r="G62" s="5">
        <f t="shared" si="1"/>
        <v>266327.84866666701</v>
      </c>
      <c r="H62" s="5">
        <f t="shared" si="0"/>
        <v>289052.82933333371</v>
      </c>
    </row>
    <row r="63" spans="1:8" x14ac:dyDescent="0.25">
      <c r="A63" s="3">
        <v>42313</v>
      </c>
      <c r="B63" s="3" t="s">
        <v>11</v>
      </c>
      <c r="C63" s="4" t="s">
        <v>16</v>
      </c>
      <c r="D63" s="1">
        <v>23170.7186666667</v>
      </c>
      <c r="E63" s="4" t="s">
        <v>124</v>
      </c>
      <c r="F63" s="4" t="s">
        <v>18</v>
      </c>
      <c r="G63" s="5">
        <f t="shared" si="1"/>
        <v>289052.82933333371</v>
      </c>
      <c r="H63" s="5">
        <f t="shared" si="0"/>
        <v>312223.54800000042</v>
      </c>
    </row>
    <row r="64" spans="1:8" x14ac:dyDescent="0.25">
      <c r="A64" s="3">
        <v>42313</v>
      </c>
      <c r="B64" s="3" t="s">
        <v>11</v>
      </c>
      <c r="C64" s="4" t="s">
        <v>16</v>
      </c>
      <c r="D64" s="1">
        <v>24507.9326666667</v>
      </c>
      <c r="E64" s="4" t="s">
        <v>125</v>
      </c>
      <c r="F64" s="4" t="s">
        <v>19</v>
      </c>
      <c r="G64" s="5">
        <f t="shared" si="1"/>
        <v>312223.54800000042</v>
      </c>
      <c r="H64" s="5">
        <f t="shared" si="0"/>
        <v>336731.48066666711</v>
      </c>
    </row>
    <row r="65" spans="1:8" x14ac:dyDescent="0.25">
      <c r="A65" s="3">
        <v>42313</v>
      </c>
      <c r="B65" s="3" t="s">
        <v>11</v>
      </c>
      <c r="C65" s="4" t="s">
        <v>16</v>
      </c>
      <c r="D65" s="1">
        <v>24953.670666666701</v>
      </c>
      <c r="E65" s="4" t="s">
        <v>126</v>
      </c>
      <c r="F65" s="4" t="s">
        <v>19</v>
      </c>
      <c r="G65" s="5">
        <f t="shared" si="1"/>
        <v>336731.48066666711</v>
      </c>
      <c r="H65" s="5">
        <f t="shared" si="0"/>
        <v>361685.15133333381</v>
      </c>
    </row>
    <row r="66" spans="1:8" x14ac:dyDescent="0.25">
      <c r="A66" s="3">
        <v>42313</v>
      </c>
      <c r="B66" s="3" t="s">
        <v>11</v>
      </c>
      <c r="C66" s="4" t="s">
        <v>16</v>
      </c>
      <c r="D66" s="1">
        <v>26290.884666666701</v>
      </c>
      <c r="E66" s="4" t="s">
        <v>127</v>
      </c>
      <c r="F66" s="4" t="s">
        <v>19</v>
      </c>
      <c r="G66" s="5">
        <f t="shared" si="1"/>
        <v>361685.15133333381</v>
      </c>
      <c r="H66" s="5">
        <f t="shared" ref="H66:H129" si="2">IF(C66="Entrada",G66+D66,G66-D66)</f>
        <v>387976.03600000049</v>
      </c>
    </row>
    <row r="67" spans="1:8" x14ac:dyDescent="0.25">
      <c r="A67" s="3">
        <v>42313</v>
      </c>
      <c r="B67" s="3" t="s">
        <v>11</v>
      </c>
      <c r="C67" s="4" t="s">
        <v>16</v>
      </c>
      <c r="D67" s="1">
        <v>26736.622666666699</v>
      </c>
      <c r="E67" s="4" t="s">
        <v>128</v>
      </c>
      <c r="F67" s="4" t="s">
        <v>19</v>
      </c>
      <c r="G67" s="5">
        <f t="shared" ref="G67:G130" si="3">H66</f>
        <v>387976.03600000049</v>
      </c>
      <c r="H67" s="5">
        <f t="shared" si="2"/>
        <v>414712.65866666718</v>
      </c>
    </row>
    <row r="68" spans="1:8" x14ac:dyDescent="0.25">
      <c r="A68" s="3">
        <v>42313</v>
      </c>
      <c r="B68" s="3" t="s">
        <v>11</v>
      </c>
      <c r="C68" s="4" t="s">
        <v>16</v>
      </c>
      <c r="D68" s="1">
        <v>28073.836666666699</v>
      </c>
      <c r="E68" s="4" t="s">
        <v>129</v>
      </c>
      <c r="F68" s="4" t="s">
        <v>19</v>
      </c>
      <c r="G68" s="5">
        <f t="shared" si="3"/>
        <v>414712.65866666718</v>
      </c>
      <c r="H68" s="5">
        <f t="shared" si="2"/>
        <v>442786.49533333385</v>
      </c>
    </row>
    <row r="69" spans="1:8" x14ac:dyDescent="0.25">
      <c r="A69" s="3">
        <v>42313</v>
      </c>
      <c r="B69" s="3" t="s">
        <v>11</v>
      </c>
      <c r="C69" s="4" t="s">
        <v>17</v>
      </c>
      <c r="D69" s="1">
        <v>28519.5746666667</v>
      </c>
      <c r="E69" s="4" t="s">
        <v>130</v>
      </c>
      <c r="F69" s="4" t="s">
        <v>19</v>
      </c>
      <c r="G69" s="5">
        <f t="shared" si="3"/>
        <v>442786.49533333385</v>
      </c>
      <c r="H69" s="5">
        <f t="shared" si="2"/>
        <v>414266.92066666717</v>
      </c>
    </row>
    <row r="70" spans="1:8" x14ac:dyDescent="0.25">
      <c r="A70" s="3">
        <v>42313</v>
      </c>
      <c r="B70" s="3" t="s">
        <v>11</v>
      </c>
      <c r="C70" s="4" t="s">
        <v>16</v>
      </c>
      <c r="D70" s="1">
        <v>29856.7886666667</v>
      </c>
      <c r="E70" s="4" t="s">
        <v>131</v>
      </c>
      <c r="F70" s="4" t="s">
        <v>19</v>
      </c>
      <c r="G70" s="5">
        <f t="shared" si="3"/>
        <v>414266.92066666717</v>
      </c>
      <c r="H70" s="5">
        <f t="shared" si="2"/>
        <v>444123.70933333389</v>
      </c>
    </row>
    <row r="71" spans="1:8" x14ac:dyDescent="0.25">
      <c r="A71" s="3">
        <v>42313</v>
      </c>
      <c r="B71" s="3" t="s">
        <v>11</v>
      </c>
      <c r="C71" s="4" t="s">
        <v>16</v>
      </c>
      <c r="D71" s="1">
        <v>30302.526666666701</v>
      </c>
      <c r="E71" s="4" t="s">
        <v>132</v>
      </c>
      <c r="F71" s="4" t="s">
        <v>19</v>
      </c>
      <c r="G71" s="5">
        <f t="shared" si="3"/>
        <v>444123.70933333389</v>
      </c>
      <c r="H71" s="5">
        <f t="shared" si="2"/>
        <v>474426.23600000062</v>
      </c>
    </row>
    <row r="72" spans="1:8" x14ac:dyDescent="0.25">
      <c r="A72" s="3">
        <v>42313</v>
      </c>
      <c r="B72" s="3" t="s">
        <v>11</v>
      </c>
      <c r="C72" s="4" t="s">
        <v>16</v>
      </c>
      <c r="D72" s="1">
        <v>31639.740666666701</v>
      </c>
      <c r="E72" s="4" t="s">
        <v>133</v>
      </c>
      <c r="F72" s="4" t="s">
        <v>19</v>
      </c>
      <c r="G72" s="5">
        <f t="shared" si="3"/>
        <v>474426.23600000062</v>
      </c>
      <c r="H72" s="5">
        <f t="shared" si="2"/>
        <v>506065.97666666732</v>
      </c>
    </row>
    <row r="73" spans="1:8" x14ac:dyDescent="0.25">
      <c r="A73" s="3">
        <v>42313</v>
      </c>
      <c r="B73" s="3" t="s">
        <v>11</v>
      </c>
      <c r="C73" s="4" t="s">
        <v>16</v>
      </c>
      <c r="D73" s="1">
        <v>32085.478666666699</v>
      </c>
      <c r="E73" s="4" t="s">
        <v>134</v>
      </c>
      <c r="F73" s="4" t="s">
        <v>18</v>
      </c>
      <c r="G73" s="5">
        <f t="shared" si="3"/>
        <v>506065.97666666732</v>
      </c>
      <c r="H73" s="5">
        <f t="shared" si="2"/>
        <v>538151.45533333404</v>
      </c>
    </row>
    <row r="74" spans="1:8" x14ac:dyDescent="0.25">
      <c r="A74" s="3">
        <v>42313</v>
      </c>
      <c r="B74" s="3" t="s">
        <v>11</v>
      </c>
      <c r="C74" s="4" t="s">
        <v>16</v>
      </c>
      <c r="D74" s="1">
        <v>33422.692666666699</v>
      </c>
      <c r="E74" s="4" t="s">
        <v>135</v>
      </c>
      <c r="F74" s="4" t="s">
        <v>19</v>
      </c>
      <c r="G74" s="5">
        <f t="shared" si="3"/>
        <v>538151.45533333404</v>
      </c>
      <c r="H74" s="5">
        <f t="shared" si="2"/>
        <v>571574.14800000074</v>
      </c>
    </row>
    <row r="75" spans="1:8" x14ac:dyDescent="0.25">
      <c r="A75" s="3">
        <v>42313</v>
      </c>
      <c r="B75" s="3" t="s">
        <v>11</v>
      </c>
      <c r="C75" s="4" t="s">
        <v>16</v>
      </c>
      <c r="D75" s="1">
        <v>33868.430666666703</v>
      </c>
      <c r="E75" s="4" t="s">
        <v>136</v>
      </c>
      <c r="F75" s="4" t="s">
        <v>19</v>
      </c>
      <c r="G75" s="5">
        <f t="shared" si="3"/>
        <v>571574.14800000074</v>
      </c>
      <c r="H75" s="5">
        <f t="shared" si="2"/>
        <v>605442.57866666745</v>
      </c>
    </row>
    <row r="76" spans="1:8" x14ac:dyDescent="0.25">
      <c r="A76" s="3">
        <v>42313</v>
      </c>
      <c r="B76" s="3" t="s">
        <v>11</v>
      </c>
      <c r="C76" s="4" t="s">
        <v>16</v>
      </c>
      <c r="D76" s="1">
        <v>35205.644666666703</v>
      </c>
      <c r="E76" s="4" t="s">
        <v>137</v>
      </c>
      <c r="F76" s="4" t="s">
        <v>19</v>
      </c>
      <c r="G76" s="5">
        <f t="shared" si="3"/>
        <v>605442.57866666745</v>
      </c>
      <c r="H76" s="5">
        <f t="shared" si="2"/>
        <v>640648.2233333342</v>
      </c>
    </row>
    <row r="77" spans="1:8" x14ac:dyDescent="0.25">
      <c r="A77" s="3">
        <v>42313</v>
      </c>
      <c r="B77" s="3" t="s">
        <v>11</v>
      </c>
      <c r="C77" s="4" t="s">
        <v>17</v>
      </c>
      <c r="D77" s="1">
        <v>35651.382666666701</v>
      </c>
      <c r="E77" s="4" t="s">
        <v>138</v>
      </c>
      <c r="F77" s="4" t="s">
        <v>19</v>
      </c>
      <c r="G77" s="5">
        <f t="shared" si="3"/>
        <v>640648.2233333342</v>
      </c>
      <c r="H77" s="5">
        <f t="shared" si="2"/>
        <v>604996.84066666756</v>
      </c>
    </row>
    <row r="78" spans="1:8" x14ac:dyDescent="0.25">
      <c r="A78" s="3">
        <v>42313</v>
      </c>
      <c r="B78" s="3" t="s">
        <v>11</v>
      </c>
      <c r="C78" s="4" t="s">
        <v>16</v>
      </c>
      <c r="D78" s="1">
        <v>36988.596666666701</v>
      </c>
      <c r="E78" s="4" t="s">
        <v>139</v>
      </c>
      <c r="F78" s="4" t="s">
        <v>19</v>
      </c>
      <c r="G78" s="5">
        <f t="shared" si="3"/>
        <v>604996.84066666756</v>
      </c>
      <c r="H78" s="5">
        <f t="shared" si="2"/>
        <v>641985.43733333424</v>
      </c>
    </row>
    <row r="79" spans="1:8" x14ac:dyDescent="0.25">
      <c r="A79" s="3">
        <v>42313</v>
      </c>
      <c r="B79" s="3" t="s">
        <v>11</v>
      </c>
      <c r="C79" s="4" t="s">
        <v>16</v>
      </c>
      <c r="D79" s="1">
        <v>37434.334666666698</v>
      </c>
      <c r="E79" s="4" t="s">
        <v>140</v>
      </c>
      <c r="F79" s="4" t="s">
        <v>19</v>
      </c>
      <c r="G79" s="5">
        <f t="shared" si="3"/>
        <v>641985.43733333424</v>
      </c>
      <c r="H79" s="5">
        <f t="shared" si="2"/>
        <v>679419.77200000093</v>
      </c>
    </row>
    <row r="80" spans="1:8" x14ac:dyDescent="0.25">
      <c r="A80" s="3">
        <v>42313</v>
      </c>
      <c r="B80" s="3" t="s">
        <v>11</v>
      </c>
      <c r="C80" s="4" t="s">
        <v>16</v>
      </c>
      <c r="D80" s="1">
        <v>38771.548666666698</v>
      </c>
      <c r="E80" s="4" t="s">
        <v>141</v>
      </c>
      <c r="F80" s="4" t="s">
        <v>19</v>
      </c>
      <c r="G80" s="5">
        <f t="shared" si="3"/>
        <v>679419.77200000093</v>
      </c>
      <c r="H80" s="5">
        <f t="shared" si="2"/>
        <v>718191.32066666766</v>
      </c>
    </row>
    <row r="81" spans="1:8" x14ac:dyDescent="0.25">
      <c r="A81" s="3">
        <v>42313</v>
      </c>
      <c r="B81" s="3" t="s">
        <v>11</v>
      </c>
      <c r="C81" s="4" t="s">
        <v>16</v>
      </c>
      <c r="D81" s="1">
        <v>39217.286666666703</v>
      </c>
      <c r="E81" s="4" t="s">
        <v>142</v>
      </c>
      <c r="F81" s="4" t="s">
        <v>19</v>
      </c>
      <c r="G81" s="5">
        <f t="shared" si="3"/>
        <v>718191.32066666766</v>
      </c>
      <c r="H81" s="5">
        <f t="shared" si="2"/>
        <v>757408.6073333344</v>
      </c>
    </row>
    <row r="82" spans="1:8" x14ac:dyDescent="0.25">
      <c r="A82" s="3">
        <v>42313</v>
      </c>
      <c r="B82" s="3" t="s">
        <v>11</v>
      </c>
      <c r="C82" s="4" t="s">
        <v>16</v>
      </c>
      <c r="D82" s="1">
        <v>40554.500666666703</v>
      </c>
      <c r="E82" s="4" t="s">
        <v>143</v>
      </c>
      <c r="F82" s="4" t="s">
        <v>19</v>
      </c>
      <c r="G82" s="5">
        <f t="shared" si="3"/>
        <v>757408.6073333344</v>
      </c>
      <c r="H82" s="5">
        <f t="shared" si="2"/>
        <v>797963.10800000106</v>
      </c>
    </row>
    <row r="83" spans="1:8" x14ac:dyDescent="0.25">
      <c r="A83" s="3">
        <v>42313</v>
      </c>
      <c r="B83" s="3" t="s">
        <v>11</v>
      </c>
      <c r="C83" s="4" t="s">
        <v>16</v>
      </c>
      <c r="D83" s="1">
        <v>41000.238666666701</v>
      </c>
      <c r="E83" s="4" t="s">
        <v>144</v>
      </c>
      <c r="F83" s="4" t="s">
        <v>19</v>
      </c>
      <c r="G83" s="5">
        <f t="shared" si="3"/>
        <v>797963.10800000106</v>
      </c>
      <c r="H83" s="5">
        <f t="shared" si="2"/>
        <v>838963.34666666773</v>
      </c>
    </row>
    <row r="84" spans="1:8" x14ac:dyDescent="0.25">
      <c r="A84" s="3">
        <v>42313</v>
      </c>
      <c r="B84" s="3" t="s">
        <v>11</v>
      </c>
      <c r="C84" s="4" t="s">
        <v>16</v>
      </c>
      <c r="D84" s="1">
        <v>42337.452666666701</v>
      </c>
      <c r="E84" s="4" t="s">
        <v>145</v>
      </c>
      <c r="F84" s="4" t="s">
        <v>18</v>
      </c>
      <c r="G84" s="5">
        <f t="shared" si="3"/>
        <v>838963.34666666773</v>
      </c>
      <c r="H84" s="5">
        <f t="shared" si="2"/>
        <v>881300.79933333443</v>
      </c>
    </row>
    <row r="85" spans="1:8" x14ac:dyDescent="0.25">
      <c r="A85" s="3">
        <v>42313</v>
      </c>
      <c r="B85" s="3" t="s">
        <v>11</v>
      </c>
      <c r="C85" s="4" t="s">
        <v>16</v>
      </c>
      <c r="D85" s="1">
        <v>42783.190666666698</v>
      </c>
      <c r="E85" s="4" t="s">
        <v>146</v>
      </c>
      <c r="F85" s="4" t="s">
        <v>19</v>
      </c>
      <c r="G85" s="5">
        <f t="shared" si="3"/>
        <v>881300.79933333443</v>
      </c>
      <c r="H85" s="5">
        <f t="shared" si="2"/>
        <v>924083.99000000115</v>
      </c>
    </row>
    <row r="86" spans="1:8" x14ac:dyDescent="0.25">
      <c r="A86" s="3">
        <v>42313</v>
      </c>
      <c r="B86" s="3" t="s">
        <v>11</v>
      </c>
      <c r="C86" s="4" t="s">
        <v>16</v>
      </c>
      <c r="D86" s="1">
        <v>44120.404666666698</v>
      </c>
      <c r="E86" s="4" t="s">
        <v>147</v>
      </c>
      <c r="F86" s="4" t="s">
        <v>19</v>
      </c>
      <c r="G86" s="5">
        <f t="shared" si="3"/>
        <v>924083.99000000115</v>
      </c>
      <c r="H86" s="5">
        <f t="shared" si="2"/>
        <v>968204.39466666779</v>
      </c>
    </row>
    <row r="87" spans="1:8" x14ac:dyDescent="0.25">
      <c r="A87" s="3">
        <v>42313</v>
      </c>
      <c r="B87" s="3" t="s">
        <v>11</v>
      </c>
      <c r="C87" s="4" t="s">
        <v>17</v>
      </c>
      <c r="D87" s="1">
        <v>44566.142666666703</v>
      </c>
      <c r="E87" s="4" t="s">
        <v>148</v>
      </c>
      <c r="F87" s="4" t="s">
        <v>19</v>
      </c>
      <c r="G87" s="5">
        <f t="shared" si="3"/>
        <v>968204.39466666779</v>
      </c>
      <c r="H87" s="5">
        <f t="shared" si="2"/>
        <v>923638.25200000114</v>
      </c>
    </row>
    <row r="88" spans="1:8" x14ac:dyDescent="0.25">
      <c r="A88" s="3">
        <v>42313</v>
      </c>
      <c r="B88" s="3" t="s">
        <v>11</v>
      </c>
      <c r="C88" s="4" t="s">
        <v>16</v>
      </c>
      <c r="D88" s="1">
        <v>45903.356666666703</v>
      </c>
      <c r="E88" s="4" t="s">
        <v>149</v>
      </c>
      <c r="F88" s="4" t="s">
        <v>19</v>
      </c>
      <c r="G88" s="5">
        <f t="shared" si="3"/>
        <v>923638.25200000114</v>
      </c>
      <c r="H88" s="5">
        <f t="shared" si="2"/>
        <v>969541.60866666783</v>
      </c>
    </row>
    <row r="89" spans="1:8" x14ac:dyDescent="0.25">
      <c r="A89" s="3">
        <v>42313</v>
      </c>
      <c r="B89" s="3" t="s">
        <v>11</v>
      </c>
      <c r="C89" s="4" t="s">
        <v>16</v>
      </c>
      <c r="D89" s="1">
        <v>46349.094666666701</v>
      </c>
      <c r="E89" s="4" t="s">
        <v>150</v>
      </c>
      <c r="F89" s="4" t="s">
        <v>19</v>
      </c>
      <c r="G89" s="5">
        <f t="shared" si="3"/>
        <v>969541.60866666783</v>
      </c>
      <c r="H89" s="5">
        <f t="shared" si="2"/>
        <v>1015890.7033333345</v>
      </c>
    </row>
    <row r="90" spans="1:8" x14ac:dyDescent="0.25">
      <c r="A90" s="3">
        <v>42313</v>
      </c>
      <c r="B90" s="3" t="s">
        <v>11</v>
      </c>
      <c r="C90" s="4" t="s">
        <v>16</v>
      </c>
      <c r="D90" s="1">
        <v>47686.3086666667</v>
      </c>
      <c r="E90" s="4" t="s">
        <v>151</v>
      </c>
      <c r="F90" s="4" t="s">
        <v>19</v>
      </c>
      <c r="G90" s="5">
        <f t="shared" si="3"/>
        <v>1015890.7033333345</v>
      </c>
      <c r="H90" s="5">
        <f t="shared" si="2"/>
        <v>1063577.0120000013</v>
      </c>
    </row>
    <row r="91" spans="1:8" x14ac:dyDescent="0.25">
      <c r="A91" s="3">
        <v>42313</v>
      </c>
      <c r="B91" s="3" t="s">
        <v>11</v>
      </c>
      <c r="C91" s="4" t="s">
        <v>16</v>
      </c>
      <c r="D91" s="1">
        <v>48132.046666666698</v>
      </c>
      <c r="E91" s="4" t="s">
        <v>152</v>
      </c>
      <c r="F91" s="4" t="s">
        <v>19</v>
      </c>
      <c r="G91" s="5">
        <f t="shared" si="3"/>
        <v>1063577.0120000013</v>
      </c>
      <c r="H91" s="5">
        <f t="shared" si="2"/>
        <v>1111709.0586666679</v>
      </c>
    </row>
    <row r="92" spans="1:8" x14ac:dyDescent="0.25">
      <c r="A92" s="3">
        <v>42313</v>
      </c>
      <c r="B92" s="3" t="s">
        <v>11</v>
      </c>
      <c r="C92" s="4" t="s">
        <v>16</v>
      </c>
      <c r="D92" s="1">
        <v>49469.260666666698</v>
      </c>
      <c r="E92" s="4" t="s">
        <v>153</v>
      </c>
      <c r="F92" s="4" t="s">
        <v>19</v>
      </c>
      <c r="G92" s="5">
        <f t="shared" si="3"/>
        <v>1111709.0586666679</v>
      </c>
      <c r="H92" s="5">
        <f t="shared" si="2"/>
        <v>1161178.3193333347</v>
      </c>
    </row>
    <row r="93" spans="1:8" x14ac:dyDescent="0.25">
      <c r="A93" s="3">
        <v>42313</v>
      </c>
      <c r="B93" s="3" t="s">
        <v>11</v>
      </c>
      <c r="C93" s="4" t="s">
        <v>16</v>
      </c>
      <c r="D93" s="1">
        <v>49914.998666666703</v>
      </c>
      <c r="E93" s="4" t="s">
        <v>154</v>
      </c>
      <c r="F93" s="4" t="s">
        <v>19</v>
      </c>
      <c r="G93" s="5">
        <f t="shared" si="3"/>
        <v>1161178.3193333347</v>
      </c>
      <c r="H93" s="5">
        <f t="shared" si="2"/>
        <v>1211093.3180000014</v>
      </c>
    </row>
    <row r="94" spans="1:8" x14ac:dyDescent="0.25">
      <c r="A94" s="3">
        <v>42313</v>
      </c>
      <c r="B94" s="3" t="s">
        <v>11</v>
      </c>
      <c r="C94" s="4" t="s">
        <v>16</v>
      </c>
      <c r="D94" s="1">
        <v>51252.212666666703</v>
      </c>
      <c r="E94" s="4" t="s">
        <v>155</v>
      </c>
      <c r="F94" s="4" t="s">
        <v>19</v>
      </c>
      <c r="G94" s="5">
        <f t="shared" si="3"/>
        <v>1211093.3180000014</v>
      </c>
      <c r="H94" s="5">
        <f t="shared" si="2"/>
        <v>1262345.530666668</v>
      </c>
    </row>
    <row r="95" spans="1:8" x14ac:dyDescent="0.25">
      <c r="A95" s="3">
        <v>42313</v>
      </c>
      <c r="B95" s="3" t="s">
        <v>11</v>
      </c>
      <c r="C95" s="4" t="s">
        <v>16</v>
      </c>
      <c r="D95" s="1">
        <v>51697.9506666667</v>
      </c>
      <c r="E95" s="4" t="s">
        <v>156</v>
      </c>
      <c r="F95" s="4" t="s">
        <v>19</v>
      </c>
      <c r="G95" s="5">
        <f t="shared" si="3"/>
        <v>1262345.530666668</v>
      </c>
      <c r="H95" s="5">
        <f t="shared" si="2"/>
        <v>1314043.4813333347</v>
      </c>
    </row>
    <row r="96" spans="1:8" x14ac:dyDescent="0.25">
      <c r="A96" s="3">
        <v>42313</v>
      </c>
      <c r="B96" s="3" t="s">
        <v>11</v>
      </c>
      <c r="C96" s="4" t="s">
        <v>16</v>
      </c>
      <c r="D96" s="1">
        <v>53035.1646666667</v>
      </c>
      <c r="E96" s="4" t="s">
        <v>157</v>
      </c>
      <c r="F96" s="4" t="s">
        <v>18</v>
      </c>
      <c r="G96" s="5">
        <f t="shared" si="3"/>
        <v>1314043.4813333347</v>
      </c>
      <c r="H96" s="5">
        <f t="shared" si="2"/>
        <v>1367078.6460000013</v>
      </c>
    </row>
    <row r="97" spans="1:8" x14ac:dyDescent="0.25">
      <c r="A97" s="3">
        <v>42313</v>
      </c>
      <c r="B97" s="3" t="s">
        <v>11</v>
      </c>
      <c r="C97" s="4" t="s">
        <v>17</v>
      </c>
      <c r="D97" s="1">
        <v>53480.902666666698</v>
      </c>
      <c r="E97" s="4" t="s">
        <v>158</v>
      </c>
      <c r="F97" s="4" t="s">
        <v>19</v>
      </c>
      <c r="G97" s="5">
        <f t="shared" si="3"/>
        <v>1367078.6460000013</v>
      </c>
      <c r="H97" s="5">
        <f t="shared" si="2"/>
        <v>1313597.7433333346</v>
      </c>
    </row>
    <row r="98" spans="1:8" x14ac:dyDescent="0.25">
      <c r="A98" s="3">
        <v>42313</v>
      </c>
      <c r="B98" s="3" t="s">
        <v>11</v>
      </c>
      <c r="C98" s="4" t="s">
        <v>16</v>
      </c>
      <c r="D98" s="1">
        <v>54818.116666666698</v>
      </c>
      <c r="E98" s="4" t="s">
        <v>159</v>
      </c>
      <c r="F98" s="4" t="s">
        <v>19</v>
      </c>
      <c r="G98" s="5">
        <f t="shared" si="3"/>
        <v>1313597.7433333346</v>
      </c>
      <c r="H98" s="5">
        <f t="shared" si="2"/>
        <v>1368415.8600000013</v>
      </c>
    </row>
    <row r="99" spans="1:8" x14ac:dyDescent="0.25">
      <c r="A99" s="3">
        <v>42313</v>
      </c>
      <c r="B99" s="3" t="s">
        <v>11</v>
      </c>
      <c r="C99" s="4" t="s">
        <v>16</v>
      </c>
      <c r="D99" s="1">
        <v>55263.854666666703</v>
      </c>
      <c r="E99" s="4" t="s">
        <v>160</v>
      </c>
      <c r="F99" s="4" t="s">
        <v>19</v>
      </c>
      <c r="G99" s="5">
        <f t="shared" si="3"/>
        <v>1368415.8600000013</v>
      </c>
      <c r="H99" s="5">
        <f t="shared" si="2"/>
        <v>1423679.7146666679</v>
      </c>
    </row>
    <row r="100" spans="1:8" x14ac:dyDescent="0.25">
      <c r="A100" s="3">
        <v>42313</v>
      </c>
      <c r="B100" s="3" t="s">
        <v>11</v>
      </c>
      <c r="C100" s="4" t="s">
        <v>16</v>
      </c>
      <c r="D100" s="1">
        <v>56601.068666666702</v>
      </c>
      <c r="E100" s="4" t="s">
        <v>161</v>
      </c>
      <c r="F100" s="4" t="s">
        <v>19</v>
      </c>
      <c r="G100" s="5">
        <f t="shared" si="3"/>
        <v>1423679.7146666679</v>
      </c>
      <c r="H100" s="5">
        <f t="shared" si="2"/>
        <v>1480280.7833333346</v>
      </c>
    </row>
    <row r="101" spans="1:8" x14ac:dyDescent="0.25">
      <c r="A101" s="3">
        <v>42313</v>
      </c>
      <c r="B101" s="3" t="s">
        <v>11</v>
      </c>
      <c r="C101" s="4" t="s">
        <v>16</v>
      </c>
      <c r="D101" s="1">
        <v>57046.8066666667</v>
      </c>
      <c r="E101" s="4" t="s">
        <v>162</v>
      </c>
      <c r="F101" s="4" t="s">
        <v>19</v>
      </c>
      <c r="G101" s="5">
        <f t="shared" si="3"/>
        <v>1480280.7833333346</v>
      </c>
      <c r="H101" s="5">
        <f t="shared" si="2"/>
        <v>1537327.5900000012</v>
      </c>
    </row>
    <row r="102" spans="1:8" x14ac:dyDescent="0.25">
      <c r="A102" s="3">
        <v>42313</v>
      </c>
      <c r="B102" s="3" t="s">
        <v>11</v>
      </c>
      <c r="C102" s="4" t="s">
        <v>16</v>
      </c>
      <c r="D102" s="1">
        <v>58384.0206666667</v>
      </c>
      <c r="E102" s="4" t="s">
        <v>163</v>
      </c>
      <c r="F102" s="4" t="s">
        <v>19</v>
      </c>
      <c r="G102" s="5">
        <f t="shared" si="3"/>
        <v>1537327.5900000012</v>
      </c>
      <c r="H102" s="5">
        <f t="shared" si="2"/>
        <v>1595711.610666668</v>
      </c>
    </row>
    <row r="103" spans="1:8" x14ac:dyDescent="0.25">
      <c r="A103" s="3">
        <v>42313</v>
      </c>
      <c r="B103" s="3" t="s">
        <v>11</v>
      </c>
      <c r="C103" s="4" t="s">
        <v>16</v>
      </c>
      <c r="D103" s="1">
        <v>58829.758666666698</v>
      </c>
      <c r="E103" s="4" t="s">
        <v>164</v>
      </c>
      <c r="F103" s="4" t="s">
        <v>19</v>
      </c>
      <c r="G103" s="5">
        <f t="shared" si="3"/>
        <v>1595711.610666668</v>
      </c>
      <c r="H103" s="5">
        <f t="shared" si="2"/>
        <v>1654541.3693333347</v>
      </c>
    </row>
    <row r="104" spans="1:8" x14ac:dyDescent="0.25">
      <c r="A104" s="3">
        <v>42313</v>
      </c>
      <c r="B104" s="3" t="s">
        <v>11</v>
      </c>
      <c r="C104" s="4" t="s">
        <v>16</v>
      </c>
      <c r="D104" s="1">
        <v>60166.972666666697</v>
      </c>
      <c r="E104" s="4" t="s">
        <v>165</v>
      </c>
      <c r="F104" s="4" t="s">
        <v>19</v>
      </c>
      <c r="G104" s="5">
        <f t="shared" si="3"/>
        <v>1654541.3693333347</v>
      </c>
      <c r="H104" s="5">
        <f t="shared" si="2"/>
        <v>1714708.3420000013</v>
      </c>
    </row>
    <row r="105" spans="1:8" x14ac:dyDescent="0.25">
      <c r="A105" s="3">
        <v>42313</v>
      </c>
      <c r="B105" s="3" t="s">
        <v>11</v>
      </c>
      <c r="C105" s="4" t="s">
        <v>16</v>
      </c>
      <c r="D105" s="1">
        <v>60612.710666666702</v>
      </c>
      <c r="E105" s="4" t="s">
        <v>166</v>
      </c>
      <c r="F105" s="4" t="s">
        <v>19</v>
      </c>
      <c r="G105" s="5">
        <f t="shared" si="3"/>
        <v>1714708.3420000013</v>
      </c>
      <c r="H105" s="5">
        <f t="shared" si="2"/>
        <v>1775321.0526666681</v>
      </c>
    </row>
    <row r="106" spans="1:8" x14ac:dyDescent="0.25">
      <c r="A106" s="3">
        <v>42313</v>
      </c>
      <c r="B106" s="3" t="s">
        <v>11</v>
      </c>
      <c r="C106" s="4" t="s">
        <v>16</v>
      </c>
      <c r="D106" s="1">
        <v>61949.924666666702</v>
      </c>
      <c r="E106" s="4" t="s">
        <v>167</v>
      </c>
      <c r="F106" s="4" t="s">
        <v>19</v>
      </c>
      <c r="G106" s="5">
        <f t="shared" si="3"/>
        <v>1775321.0526666681</v>
      </c>
      <c r="H106" s="5">
        <f t="shared" si="2"/>
        <v>1837270.9773333347</v>
      </c>
    </row>
    <row r="107" spans="1:8" x14ac:dyDescent="0.25">
      <c r="A107" s="3">
        <v>42313</v>
      </c>
      <c r="B107" s="3" t="s">
        <v>11</v>
      </c>
      <c r="C107" s="4" t="s">
        <v>16</v>
      </c>
      <c r="D107" s="1">
        <v>62395.6626666667</v>
      </c>
      <c r="E107" s="4" t="s">
        <v>168</v>
      </c>
      <c r="F107" s="4" t="s">
        <v>19</v>
      </c>
      <c r="G107" s="5">
        <f t="shared" si="3"/>
        <v>1837270.9773333347</v>
      </c>
      <c r="H107" s="5">
        <f t="shared" si="2"/>
        <v>1899666.6400000015</v>
      </c>
    </row>
    <row r="108" spans="1:8" x14ac:dyDescent="0.25">
      <c r="A108" s="3">
        <v>42313</v>
      </c>
      <c r="B108" s="3" t="s">
        <v>11</v>
      </c>
      <c r="C108" s="4" t="s">
        <v>16</v>
      </c>
      <c r="D108" s="1">
        <v>63732.8766666667</v>
      </c>
      <c r="E108" s="4" t="s">
        <v>169</v>
      </c>
      <c r="F108" s="4" t="s">
        <v>18</v>
      </c>
      <c r="G108" s="5">
        <f t="shared" si="3"/>
        <v>1899666.6400000015</v>
      </c>
      <c r="H108" s="5">
        <f t="shared" si="2"/>
        <v>1963399.5166666682</v>
      </c>
    </row>
    <row r="109" spans="1:8" x14ac:dyDescent="0.25">
      <c r="A109" s="3">
        <v>42313</v>
      </c>
      <c r="B109" s="3" t="s">
        <v>11</v>
      </c>
      <c r="C109" s="4" t="s">
        <v>16</v>
      </c>
      <c r="D109" s="1">
        <v>64178.614666666697</v>
      </c>
      <c r="E109" s="4" t="s">
        <v>170</v>
      </c>
      <c r="F109" s="4" t="s">
        <v>19</v>
      </c>
      <c r="G109" s="5">
        <f t="shared" si="3"/>
        <v>1963399.5166666682</v>
      </c>
      <c r="H109" s="5">
        <f t="shared" si="2"/>
        <v>2027578.1313333348</v>
      </c>
    </row>
    <row r="110" spans="1:8" x14ac:dyDescent="0.25">
      <c r="A110" s="3">
        <v>42313</v>
      </c>
      <c r="B110" s="3" t="s">
        <v>11</v>
      </c>
      <c r="C110" s="4" t="s">
        <v>16</v>
      </c>
      <c r="D110" s="1">
        <v>65515.828666666697</v>
      </c>
      <c r="E110" s="4" t="s">
        <v>171</v>
      </c>
      <c r="F110" s="4" t="s">
        <v>18</v>
      </c>
      <c r="G110" s="5">
        <f t="shared" si="3"/>
        <v>2027578.1313333348</v>
      </c>
      <c r="H110" s="5">
        <f t="shared" si="2"/>
        <v>2093093.9600000016</v>
      </c>
    </row>
    <row r="111" spans="1:8" x14ac:dyDescent="0.25">
      <c r="A111" s="3">
        <v>42313</v>
      </c>
      <c r="B111" s="3" t="s">
        <v>11</v>
      </c>
      <c r="C111" s="4" t="s">
        <v>16</v>
      </c>
      <c r="D111" s="1">
        <v>65961.566666666695</v>
      </c>
      <c r="E111" s="4" t="s">
        <v>172</v>
      </c>
      <c r="F111" s="4" t="s">
        <v>18</v>
      </c>
      <c r="G111" s="5">
        <f t="shared" si="3"/>
        <v>2093093.9600000016</v>
      </c>
      <c r="H111" s="5">
        <f t="shared" si="2"/>
        <v>2159055.5266666682</v>
      </c>
    </row>
    <row r="112" spans="1:8" x14ac:dyDescent="0.25">
      <c r="A112" s="3">
        <v>42313</v>
      </c>
      <c r="B112" s="3" t="s">
        <v>11</v>
      </c>
      <c r="C112" s="4" t="s">
        <v>16</v>
      </c>
      <c r="D112" s="1">
        <v>67298.780666666702</v>
      </c>
      <c r="E112" s="4" t="s">
        <v>173</v>
      </c>
      <c r="F112" s="4" t="s">
        <v>18</v>
      </c>
      <c r="G112" s="5">
        <f t="shared" si="3"/>
        <v>2159055.5266666682</v>
      </c>
      <c r="H112" s="5">
        <f t="shared" si="2"/>
        <v>2226354.3073333348</v>
      </c>
    </row>
    <row r="113" spans="1:8" x14ac:dyDescent="0.25">
      <c r="A113" s="3">
        <v>42313</v>
      </c>
      <c r="B113" s="3" t="s">
        <v>11</v>
      </c>
      <c r="C113" s="4" t="s">
        <v>16</v>
      </c>
      <c r="D113" s="1">
        <v>67744.5186666667</v>
      </c>
      <c r="E113" s="4" t="s">
        <v>174</v>
      </c>
      <c r="F113" s="4" t="s">
        <v>18</v>
      </c>
      <c r="G113" s="5">
        <f t="shared" si="3"/>
        <v>2226354.3073333348</v>
      </c>
      <c r="H113" s="5">
        <f t="shared" si="2"/>
        <v>2294098.8260000013</v>
      </c>
    </row>
    <row r="114" spans="1:8" x14ac:dyDescent="0.25">
      <c r="A114" s="3">
        <v>42313</v>
      </c>
      <c r="B114" s="3" t="s">
        <v>11</v>
      </c>
      <c r="C114" s="4" t="s">
        <v>16</v>
      </c>
      <c r="D114" s="1">
        <v>69081.732666666707</v>
      </c>
      <c r="E114" s="4" t="s">
        <v>175</v>
      </c>
      <c r="F114" s="4" t="s">
        <v>18</v>
      </c>
      <c r="G114" s="5">
        <f t="shared" si="3"/>
        <v>2294098.8260000013</v>
      </c>
      <c r="H114" s="5">
        <f t="shared" si="2"/>
        <v>2363180.5586666679</v>
      </c>
    </row>
    <row r="115" spans="1:8" x14ac:dyDescent="0.25">
      <c r="A115" s="3">
        <v>42313</v>
      </c>
      <c r="B115" s="3" t="s">
        <v>11</v>
      </c>
      <c r="C115" s="4" t="s">
        <v>16</v>
      </c>
      <c r="D115" s="1">
        <v>69527.470666666704</v>
      </c>
      <c r="E115" s="4" t="s">
        <v>176</v>
      </c>
      <c r="F115" s="4" t="s">
        <v>19</v>
      </c>
      <c r="G115" s="5">
        <f t="shared" si="3"/>
        <v>2363180.5586666679</v>
      </c>
      <c r="H115" s="5">
        <f t="shared" si="2"/>
        <v>2432708.0293333344</v>
      </c>
    </row>
    <row r="116" spans="1:8" x14ac:dyDescent="0.25">
      <c r="A116" s="3">
        <v>42313</v>
      </c>
      <c r="B116" s="3" t="s">
        <v>11</v>
      </c>
      <c r="C116" s="4" t="s">
        <v>16</v>
      </c>
      <c r="D116" s="1">
        <v>70864.684666666697</v>
      </c>
      <c r="E116" s="4" t="s">
        <v>177</v>
      </c>
      <c r="F116" s="4" t="s">
        <v>19</v>
      </c>
      <c r="G116" s="5">
        <f t="shared" si="3"/>
        <v>2432708.0293333344</v>
      </c>
      <c r="H116" s="5">
        <f t="shared" si="2"/>
        <v>2503572.7140000011</v>
      </c>
    </row>
    <row r="117" spans="1:8" x14ac:dyDescent="0.25">
      <c r="A117" s="3">
        <v>42313</v>
      </c>
      <c r="B117" s="3" t="s">
        <v>11</v>
      </c>
      <c r="C117" s="4" t="s">
        <v>16</v>
      </c>
      <c r="D117" s="1">
        <v>71310.422666666695</v>
      </c>
      <c r="E117" s="4" t="s">
        <v>178</v>
      </c>
      <c r="F117" s="4" t="s">
        <v>19</v>
      </c>
      <c r="G117" s="5">
        <f t="shared" si="3"/>
        <v>2503572.7140000011</v>
      </c>
      <c r="H117" s="5">
        <f t="shared" si="2"/>
        <v>2574883.1366666676</v>
      </c>
    </row>
    <row r="118" spans="1:8" x14ac:dyDescent="0.25">
      <c r="A118" s="3">
        <v>42313</v>
      </c>
      <c r="B118" s="3" t="s">
        <v>11</v>
      </c>
      <c r="C118" s="4" t="s">
        <v>16</v>
      </c>
      <c r="D118" s="1">
        <v>72647.636666666702</v>
      </c>
      <c r="E118" s="4" t="s">
        <v>179</v>
      </c>
      <c r="F118" s="4" t="s">
        <v>18</v>
      </c>
      <c r="G118" s="5">
        <f t="shared" si="3"/>
        <v>2574883.1366666676</v>
      </c>
      <c r="H118" s="5">
        <f t="shared" si="2"/>
        <v>2647530.7733333344</v>
      </c>
    </row>
    <row r="119" spans="1:8" x14ac:dyDescent="0.25">
      <c r="A119" s="3">
        <v>42313</v>
      </c>
      <c r="B119" s="3" t="s">
        <v>11</v>
      </c>
      <c r="C119" s="4" t="s">
        <v>16</v>
      </c>
      <c r="D119" s="1">
        <v>73093.374666666699</v>
      </c>
      <c r="E119" s="4" t="s">
        <v>180</v>
      </c>
      <c r="F119" s="4" t="s">
        <v>18</v>
      </c>
      <c r="G119" s="5">
        <f t="shared" si="3"/>
        <v>2647530.7733333344</v>
      </c>
      <c r="H119" s="5">
        <f t="shared" si="2"/>
        <v>2720624.148000001</v>
      </c>
    </row>
    <row r="120" spans="1:8" x14ac:dyDescent="0.25">
      <c r="A120" s="3">
        <v>42313</v>
      </c>
      <c r="B120" s="3" t="s">
        <v>11</v>
      </c>
      <c r="C120" s="4" t="s">
        <v>16</v>
      </c>
      <c r="D120" s="1">
        <v>74430.588666666707</v>
      </c>
      <c r="E120" s="4" t="s">
        <v>181</v>
      </c>
      <c r="F120" s="4" t="s">
        <v>18</v>
      </c>
      <c r="G120" s="5">
        <f t="shared" si="3"/>
        <v>2720624.148000001</v>
      </c>
      <c r="H120" s="5">
        <f t="shared" si="2"/>
        <v>2795054.7366666677</v>
      </c>
    </row>
    <row r="121" spans="1:8" x14ac:dyDescent="0.25">
      <c r="A121" s="3">
        <v>42313</v>
      </c>
      <c r="B121" s="3" t="s">
        <v>11</v>
      </c>
      <c r="C121" s="4" t="s">
        <v>16</v>
      </c>
      <c r="D121" s="1">
        <v>74876.326666666704</v>
      </c>
      <c r="E121" s="4" t="s">
        <v>182</v>
      </c>
      <c r="F121" s="4" t="s">
        <v>18</v>
      </c>
      <c r="G121" s="5">
        <f t="shared" si="3"/>
        <v>2795054.7366666677</v>
      </c>
      <c r="H121" s="5">
        <f t="shared" si="2"/>
        <v>2869931.0633333344</v>
      </c>
    </row>
    <row r="122" spans="1:8" x14ac:dyDescent="0.25">
      <c r="A122" s="3">
        <v>42313</v>
      </c>
      <c r="B122" s="3" t="s">
        <v>11</v>
      </c>
      <c r="C122" s="4" t="s">
        <v>16</v>
      </c>
      <c r="D122" s="1">
        <v>76213.540666666697</v>
      </c>
      <c r="E122" s="4" t="s">
        <v>183</v>
      </c>
      <c r="F122" s="4" t="s">
        <v>18</v>
      </c>
      <c r="G122" s="5">
        <f t="shared" si="3"/>
        <v>2869931.0633333344</v>
      </c>
      <c r="H122" s="5">
        <f t="shared" si="2"/>
        <v>2946144.6040000012</v>
      </c>
    </row>
    <row r="123" spans="1:8" x14ac:dyDescent="0.25">
      <c r="A123" s="3">
        <v>42313</v>
      </c>
      <c r="B123" s="3" t="s">
        <v>11</v>
      </c>
      <c r="C123" s="4" t="s">
        <v>16</v>
      </c>
      <c r="D123" s="1">
        <v>76659.278666666694</v>
      </c>
      <c r="E123" s="4" t="s">
        <v>184</v>
      </c>
      <c r="F123" s="4" t="s">
        <v>18</v>
      </c>
      <c r="G123" s="5">
        <f t="shared" si="3"/>
        <v>2946144.6040000012</v>
      </c>
      <c r="H123" s="5">
        <f t="shared" si="2"/>
        <v>3022803.8826666679</v>
      </c>
    </row>
    <row r="124" spans="1:8" x14ac:dyDescent="0.25">
      <c r="A124" s="3">
        <v>42313</v>
      </c>
      <c r="B124" s="3" t="s">
        <v>11</v>
      </c>
      <c r="C124" s="4" t="s">
        <v>17</v>
      </c>
      <c r="D124" s="1">
        <v>174</v>
      </c>
      <c r="E124" s="4" t="s">
        <v>48</v>
      </c>
      <c r="F124" s="4" t="s">
        <v>18</v>
      </c>
      <c r="G124" s="5">
        <f t="shared" si="3"/>
        <v>3022803.8826666679</v>
      </c>
      <c r="H124" s="5">
        <f t="shared" si="2"/>
        <v>3022629.8826666679</v>
      </c>
    </row>
    <row r="125" spans="1:8" x14ac:dyDescent="0.25">
      <c r="A125" s="3">
        <v>42313</v>
      </c>
      <c r="B125" s="3" t="s">
        <v>11</v>
      </c>
      <c r="C125" s="4" t="s">
        <v>17</v>
      </c>
      <c r="D125" s="1">
        <v>1778</v>
      </c>
      <c r="E125" s="4" t="s">
        <v>49</v>
      </c>
      <c r="F125" s="4" t="s">
        <v>18</v>
      </c>
      <c r="G125" s="5">
        <f t="shared" si="3"/>
        <v>3022629.8826666679</v>
      </c>
      <c r="H125" s="5">
        <f t="shared" si="2"/>
        <v>3020851.8826666679</v>
      </c>
    </row>
    <row r="126" spans="1:8" x14ac:dyDescent="0.25">
      <c r="A126" s="3">
        <v>42313</v>
      </c>
      <c r="B126" s="3" t="s">
        <v>11</v>
      </c>
      <c r="C126" s="4" t="s">
        <v>17</v>
      </c>
      <c r="D126" s="1">
        <v>1275</v>
      </c>
      <c r="E126" s="4" t="s">
        <v>56</v>
      </c>
      <c r="F126" s="4" t="s">
        <v>18</v>
      </c>
      <c r="G126" s="5">
        <f t="shared" si="3"/>
        <v>3020851.8826666679</v>
      </c>
      <c r="H126" s="5">
        <f t="shared" si="2"/>
        <v>3019576.8826666679</v>
      </c>
    </row>
    <row r="127" spans="1:8" x14ac:dyDescent="0.25">
      <c r="A127" s="3">
        <v>42313</v>
      </c>
      <c r="B127" s="3" t="s">
        <v>11</v>
      </c>
      <c r="C127" s="4" t="s">
        <v>17</v>
      </c>
      <c r="D127" s="1">
        <v>1090</v>
      </c>
      <c r="E127" s="4" t="s">
        <v>57</v>
      </c>
      <c r="F127" s="4" t="s">
        <v>18</v>
      </c>
      <c r="G127" s="5">
        <f t="shared" si="3"/>
        <v>3019576.8826666679</v>
      </c>
      <c r="H127" s="5">
        <f t="shared" si="2"/>
        <v>3018486.8826666679</v>
      </c>
    </row>
    <row r="128" spans="1:8" x14ac:dyDescent="0.25">
      <c r="A128" s="3">
        <v>42313</v>
      </c>
      <c r="B128" s="3" t="s">
        <v>11</v>
      </c>
      <c r="C128" s="4" t="s">
        <v>17</v>
      </c>
      <c r="D128" s="1">
        <v>438.9</v>
      </c>
      <c r="E128" s="4" t="s">
        <v>87</v>
      </c>
      <c r="F128" s="4" t="s">
        <v>19</v>
      </c>
      <c r="G128" s="5">
        <f t="shared" si="3"/>
        <v>3018486.8826666679</v>
      </c>
      <c r="H128" s="5">
        <f t="shared" si="2"/>
        <v>3018047.982666668</v>
      </c>
    </row>
    <row r="129" spans="1:8" x14ac:dyDescent="0.25">
      <c r="A129" s="3">
        <v>42313</v>
      </c>
      <c r="B129" s="3" t="s">
        <v>11</v>
      </c>
      <c r="C129" s="4" t="s">
        <v>17</v>
      </c>
      <c r="D129" s="1">
        <v>884.3</v>
      </c>
      <c r="E129" s="4" t="s">
        <v>64</v>
      </c>
      <c r="F129" s="4" t="s">
        <v>18</v>
      </c>
      <c r="G129" s="5">
        <f t="shared" si="3"/>
        <v>3018047.982666668</v>
      </c>
      <c r="H129" s="5">
        <f t="shared" si="2"/>
        <v>3017163.6826666682</v>
      </c>
    </row>
    <row r="130" spans="1:8" x14ac:dyDescent="0.25">
      <c r="A130" s="3">
        <v>42313</v>
      </c>
      <c r="B130" s="3" t="s">
        <v>11</v>
      </c>
      <c r="C130" s="4" t="s">
        <v>17</v>
      </c>
      <c r="D130" s="1">
        <v>2221.1</v>
      </c>
      <c r="E130" s="4" t="s">
        <v>90</v>
      </c>
      <c r="F130" s="4" t="s">
        <v>19</v>
      </c>
      <c r="G130" s="5">
        <f t="shared" si="3"/>
        <v>3017163.6826666682</v>
      </c>
      <c r="H130" s="5">
        <f t="shared" ref="H130:H150" si="4">IF(C130="Entrada",G130+D130,G130-D130)</f>
        <v>3014942.5826666681</v>
      </c>
    </row>
    <row r="131" spans="1:8" x14ac:dyDescent="0.25">
      <c r="A131" s="3">
        <v>42313</v>
      </c>
      <c r="B131" s="3" t="s">
        <v>11</v>
      </c>
      <c r="C131" s="4" t="s">
        <v>17</v>
      </c>
      <c r="D131" s="1">
        <v>2666.78</v>
      </c>
      <c r="E131" s="4" t="s">
        <v>65</v>
      </c>
      <c r="F131" s="4" t="s">
        <v>18</v>
      </c>
      <c r="G131" s="5">
        <f t="shared" ref="G131:G150" si="5">H130</f>
        <v>3014942.5826666681</v>
      </c>
      <c r="H131" s="5">
        <f t="shared" si="4"/>
        <v>3012275.8026666683</v>
      </c>
    </row>
    <row r="132" spans="1:8" x14ac:dyDescent="0.25">
      <c r="A132" s="3">
        <v>42313</v>
      </c>
      <c r="B132" s="3" t="s">
        <v>11</v>
      </c>
      <c r="C132" s="4" t="s">
        <v>17</v>
      </c>
      <c r="D132" s="1">
        <v>4003.9846666666699</v>
      </c>
      <c r="E132" s="4" t="s">
        <v>93</v>
      </c>
      <c r="F132" s="4" t="s">
        <v>18</v>
      </c>
      <c r="G132" s="5">
        <f t="shared" si="5"/>
        <v>3012275.8026666683</v>
      </c>
      <c r="H132" s="5">
        <f t="shared" si="4"/>
        <v>3008271.8180000018</v>
      </c>
    </row>
    <row r="133" spans="1:8" x14ac:dyDescent="0.25">
      <c r="A133" s="3">
        <v>42313</v>
      </c>
      <c r="B133" s="3" t="s">
        <v>11</v>
      </c>
      <c r="C133" s="4" t="s">
        <v>17</v>
      </c>
      <c r="D133" s="1">
        <v>4449.7226666666702</v>
      </c>
      <c r="E133" s="4" t="s">
        <v>66</v>
      </c>
      <c r="F133" s="4" t="s">
        <v>18</v>
      </c>
      <c r="G133" s="5">
        <f t="shared" si="5"/>
        <v>3008271.8180000018</v>
      </c>
      <c r="H133" s="5">
        <f t="shared" si="4"/>
        <v>3003822.095333335</v>
      </c>
    </row>
    <row r="134" spans="1:8" x14ac:dyDescent="0.25">
      <c r="A134" s="3">
        <v>42313</v>
      </c>
      <c r="B134" s="3" t="s">
        <v>11</v>
      </c>
      <c r="C134" s="4" t="s">
        <v>17</v>
      </c>
      <c r="D134" s="1">
        <v>5786.9366666666701</v>
      </c>
      <c r="E134" s="4" t="s">
        <v>96</v>
      </c>
      <c r="F134" s="4" t="s">
        <v>19</v>
      </c>
      <c r="G134" s="5">
        <f t="shared" si="5"/>
        <v>3003822.095333335</v>
      </c>
      <c r="H134" s="5">
        <f t="shared" si="4"/>
        <v>2998035.1586666685</v>
      </c>
    </row>
    <row r="135" spans="1:8" x14ac:dyDescent="0.25">
      <c r="A135" s="3">
        <v>42313</v>
      </c>
      <c r="B135" s="3" t="s">
        <v>11</v>
      </c>
      <c r="C135" s="4" t="s">
        <v>17</v>
      </c>
      <c r="D135" s="1">
        <v>6232.6746666666704</v>
      </c>
      <c r="E135" s="4" t="s">
        <v>67</v>
      </c>
      <c r="F135" s="4" t="s">
        <v>18</v>
      </c>
      <c r="G135" s="5">
        <f t="shared" si="5"/>
        <v>2998035.1586666685</v>
      </c>
      <c r="H135" s="5">
        <f t="shared" si="4"/>
        <v>2991802.4840000016</v>
      </c>
    </row>
    <row r="136" spans="1:8" x14ac:dyDescent="0.25">
      <c r="A136" s="3">
        <v>42313</v>
      </c>
      <c r="B136" s="3" t="s">
        <v>11</v>
      </c>
      <c r="C136" s="4" t="s">
        <v>17</v>
      </c>
      <c r="D136" s="1">
        <v>7569.8886666666704</v>
      </c>
      <c r="E136" s="4" t="s">
        <v>99</v>
      </c>
      <c r="F136" s="4" t="s">
        <v>18</v>
      </c>
      <c r="G136" s="5">
        <f t="shared" si="5"/>
        <v>2991802.4840000016</v>
      </c>
      <c r="H136" s="5">
        <f t="shared" si="4"/>
        <v>2984232.595333335</v>
      </c>
    </row>
    <row r="137" spans="1:8" x14ac:dyDescent="0.25">
      <c r="A137" s="3">
        <v>42313</v>
      </c>
      <c r="B137" s="3" t="s">
        <v>11</v>
      </c>
      <c r="C137" s="4" t="s">
        <v>17</v>
      </c>
      <c r="D137" s="1">
        <v>8015.6266666666697</v>
      </c>
      <c r="E137" s="4" t="s">
        <v>68</v>
      </c>
      <c r="F137" s="4" t="s">
        <v>18</v>
      </c>
      <c r="G137" s="5">
        <f t="shared" si="5"/>
        <v>2984232.595333335</v>
      </c>
      <c r="H137" s="5">
        <f t="shared" si="4"/>
        <v>2976216.9686666685</v>
      </c>
    </row>
    <row r="138" spans="1:8" x14ac:dyDescent="0.25">
      <c r="A138" s="3">
        <v>42313</v>
      </c>
      <c r="B138" s="3" t="s">
        <v>11</v>
      </c>
      <c r="C138" s="4" t="s">
        <v>17</v>
      </c>
      <c r="D138" s="1">
        <v>9352.8406666666706</v>
      </c>
      <c r="E138" s="4" t="s">
        <v>102</v>
      </c>
      <c r="F138" s="4" t="s">
        <v>19</v>
      </c>
      <c r="G138" s="5">
        <f t="shared" si="5"/>
        <v>2976216.9686666685</v>
      </c>
      <c r="H138" s="5">
        <f t="shared" si="4"/>
        <v>2966864.1280000019</v>
      </c>
    </row>
    <row r="139" spans="1:8" x14ac:dyDescent="0.25">
      <c r="A139" s="3">
        <v>42313</v>
      </c>
      <c r="B139" s="3" t="s">
        <v>11</v>
      </c>
      <c r="C139" s="4" t="s">
        <v>17</v>
      </c>
      <c r="D139" s="1">
        <v>9798.57866666667</v>
      </c>
      <c r="E139" s="4" t="s">
        <v>69</v>
      </c>
      <c r="F139" s="4" t="s">
        <v>18</v>
      </c>
      <c r="G139" s="5">
        <f t="shared" si="5"/>
        <v>2966864.1280000019</v>
      </c>
      <c r="H139" s="5">
        <f t="shared" si="4"/>
        <v>2957065.5493333354</v>
      </c>
    </row>
    <row r="140" spans="1:8" x14ac:dyDescent="0.25">
      <c r="A140" s="3">
        <v>42313</v>
      </c>
      <c r="B140" s="3" t="s">
        <v>11</v>
      </c>
      <c r="C140" s="4" t="s">
        <v>17</v>
      </c>
      <c r="D140" s="1">
        <v>11135.792666666701</v>
      </c>
      <c r="E140" s="4" t="s">
        <v>105</v>
      </c>
      <c r="F140" s="4" t="s">
        <v>19</v>
      </c>
      <c r="G140" s="5">
        <f t="shared" si="5"/>
        <v>2957065.5493333354</v>
      </c>
      <c r="H140" s="5">
        <f t="shared" si="4"/>
        <v>2945929.7566666687</v>
      </c>
    </row>
    <row r="141" spans="1:8" x14ac:dyDescent="0.25">
      <c r="A141" s="3">
        <v>42313</v>
      </c>
      <c r="B141" s="3" t="s">
        <v>11</v>
      </c>
      <c r="C141" s="4" t="s">
        <v>17</v>
      </c>
      <c r="D141" s="1">
        <v>11581.5306666667</v>
      </c>
      <c r="E141" s="4" t="s">
        <v>70</v>
      </c>
      <c r="F141" s="4" t="s">
        <v>18</v>
      </c>
      <c r="G141" s="5">
        <f t="shared" si="5"/>
        <v>2945929.7566666687</v>
      </c>
      <c r="H141" s="5">
        <f t="shared" si="4"/>
        <v>2934348.2260000021</v>
      </c>
    </row>
    <row r="142" spans="1:8" x14ac:dyDescent="0.25">
      <c r="A142" s="3">
        <v>42313</v>
      </c>
      <c r="B142" s="3" t="s">
        <v>11</v>
      </c>
      <c r="C142" s="4" t="s">
        <v>16</v>
      </c>
      <c r="D142" s="1">
        <v>12918.7446666667</v>
      </c>
      <c r="E142" s="4" t="s">
        <v>108</v>
      </c>
      <c r="F142" s="4" t="s">
        <v>19</v>
      </c>
      <c r="G142" s="5">
        <f t="shared" si="5"/>
        <v>2934348.2260000021</v>
      </c>
      <c r="H142" s="5">
        <f t="shared" si="4"/>
        <v>2947266.9706666688</v>
      </c>
    </row>
    <row r="143" spans="1:8" x14ac:dyDescent="0.25">
      <c r="A143" s="3">
        <v>42313</v>
      </c>
      <c r="B143" s="3" t="s">
        <v>11</v>
      </c>
      <c r="C143" s="4" t="s">
        <v>16</v>
      </c>
      <c r="D143" s="1">
        <v>13364.4826666667</v>
      </c>
      <c r="E143" s="4" t="s">
        <v>71</v>
      </c>
      <c r="F143" s="4" t="s">
        <v>18</v>
      </c>
      <c r="G143" s="5">
        <f t="shared" si="5"/>
        <v>2947266.9706666688</v>
      </c>
      <c r="H143" s="5">
        <f t="shared" si="4"/>
        <v>2960631.4533333355</v>
      </c>
    </row>
    <row r="144" spans="1:8" x14ac:dyDescent="0.25">
      <c r="A144" s="3">
        <v>42313</v>
      </c>
      <c r="B144" s="3" t="s">
        <v>11</v>
      </c>
      <c r="C144" s="4" t="s">
        <v>16</v>
      </c>
      <c r="D144" s="1">
        <v>14701.696666666699</v>
      </c>
      <c r="E144" s="4" t="s">
        <v>111</v>
      </c>
      <c r="F144" s="4" t="s">
        <v>19</v>
      </c>
      <c r="G144" s="5">
        <f t="shared" si="5"/>
        <v>2960631.4533333355</v>
      </c>
      <c r="H144" s="5">
        <f t="shared" si="4"/>
        <v>2975333.1500000022</v>
      </c>
    </row>
    <row r="145" spans="1:8" x14ac:dyDescent="0.25">
      <c r="A145" s="3">
        <v>42313</v>
      </c>
      <c r="B145" s="3" t="s">
        <v>11</v>
      </c>
      <c r="C145" s="4" t="s">
        <v>16</v>
      </c>
      <c r="D145" s="1">
        <v>15147.434666666701</v>
      </c>
      <c r="E145" s="4" t="s">
        <v>72</v>
      </c>
      <c r="F145" s="4" t="s">
        <v>18</v>
      </c>
      <c r="G145" s="5">
        <f t="shared" si="5"/>
        <v>2975333.1500000022</v>
      </c>
      <c r="H145" s="5">
        <f t="shared" si="4"/>
        <v>2990480.5846666689</v>
      </c>
    </row>
    <row r="146" spans="1:8" x14ac:dyDescent="0.25">
      <c r="A146" s="3">
        <v>42313</v>
      </c>
      <c r="B146" s="3" t="s">
        <v>11</v>
      </c>
      <c r="C146" s="4" t="s">
        <v>16</v>
      </c>
      <c r="D146" s="1">
        <v>16484.648666666701</v>
      </c>
      <c r="E146" s="4" t="s">
        <v>114</v>
      </c>
      <c r="F146" s="4" t="s">
        <v>18</v>
      </c>
      <c r="G146" s="5">
        <f t="shared" si="5"/>
        <v>2990480.5846666689</v>
      </c>
      <c r="H146" s="5">
        <f t="shared" si="4"/>
        <v>3006965.2333333357</v>
      </c>
    </row>
    <row r="147" spans="1:8" x14ac:dyDescent="0.25">
      <c r="A147" s="3">
        <v>42313</v>
      </c>
      <c r="B147" s="3" t="s">
        <v>11</v>
      </c>
      <c r="C147" s="4" t="s">
        <v>16</v>
      </c>
      <c r="D147" s="1">
        <v>16930.386666666702</v>
      </c>
      <c r="E147" s="4" t="s">
        <v>73</v>
      </c>
      <c r="F147" s="4" t="s">
        <v>18</v>
      </c>
      <c r="G147" s="5">
        <f t="shared" si="5"/>
        <v>3006965.2333333357</v>
      </c>
      <c r="H147" s="5">
        <f t="shared" si="4"/>
        <v>3023895.6200000024</v>
      </c>
    </row>
    <row r="148" spans="1:8" x14ac:dyDescent="0.25">
      <c r="A148" s="3">
        <v>42313</v>
      </c>
      <c r="B148" s="3" t="s">
        <v>11</v>
      </c>
      <c r="C148" s="4" t="s">
        <v>16</v>
      </c>
      <c r="D148" s="1">
        <v>18267.600666666702</v>
      </c>
      <c r="E148" s="4" t="s">
        <v>117</v>
      </c>
      <c r="F148" s="4" t="s">
        <v>19</v>
      </c>
      <c r="G148" s="5">
        <f t="shared" si="5"/>
        <v>3023895.6200000024</v>
      </c>
      <c r="H148" s="5">
        <f t="shared" si="4"/>
        <v>3042163.2206666693</v>
      </c>
    </row>
    <row r="149" spans="1:8" x14ac:dyDescent="0.25">
      <c r="A149" s="3">
        <v>42313</v>
      </c>
      <c r="B149" s="3" t="s">
        <v>11</v>
      </c>
      <c r="C149" s="4" t="s">
        <v>16</v>
      </c>
      <c r="D149" s="1">
        <v>18713.338666666699</v>
      </c>
      <c r="E149" s="4" t="s">
        <v>74</v>
      </c>
      <c r="F149" s="4" t="s">
        <v>18</v>
      </c>
      <c r="G149" s="5">
        <f t="shared" si="5"/>
        <v>3042163.2206666693</v>
      </c>
      <c r="H149" s="5">
        <f t="shared" si="4"/>
        <v>3060876.5593333361</v>
      </c>
    </row>
    <row r="150" spans="1:8" x14ac:dyDescent="0.25">
      <c r="A150" s="3">
        <v>42313</v>
      </c>
      <c r="B150" s="3" t="s">
        <v>11</v>
      </c>
      <c r="C150" s="4" t="s">
        <v>16</v>
      </c>
      <c r="D150" s="1">
        <v>20050.552666666699</v>
      </c>
      <c r="E150" s="4" t="s">
        <v>120</v>
      </c>
      <c r="F150" s="4" t="s">
        <v>19</v>
      </c>
      <c r="G150" s="5">
        <f t="shared" si="5"/>
        <v>3060876.5593333361</v>
      </c>
      <c r="H150" s="5">
        <f t="shared" si="4"/>
        <v>3080927.112000003</v>
      </c>
    </row>
  </sheetData>
  <autoFilter ref="A1:H150" xr:uid="{2E55C64E-0F48-4F20-AEA4-78ED09FAA003}">
    <sortState xmlns:xlrd2="http://schemas.microsoft.com/office/spreadsheetml/2017/richdata2" ref="A2:H214">
      <sortCondition ref="A1:A39"/>
    </sortState>
  </autoFilter>
  <phoneticPr fontId="6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theme="9" tint="-0.249977111117893"/>
  </sheetPr>
  <dimension ref="A1:L269"/>
  <sheetViews>
    <sheetView showGridLines="0" tabSelected="1" workbookViewId="0">
      <pane ySplit="2" topLeftCell="A3" activePane="bottomLeft" state="frozen"/>
      <selection pane="bottomLeft" sqref="A1:H1"/>
    </sheetView>
  </sheetViews>
  <sheetFormatPr defaultRowHeight="15" x14ac:dyDescent="0.25"/>
  <cols>
    <col min="1" max="1" width="13.28515625" bestFit="1" customWidth="1"/>
    <col min="2" max="2" width="9.85546875" bestFit="1" customWidth="1"/>
    <col min="3" max="3" width="18" bestFit="1" customWidth="1"/>
    <col min="4" max="4" width="16.5703125" bestFit="1" customWidth="1"/>
    <col min="5" max="5" width="22.28515625" bestFit="1" customWidth="1"/>
    <col min="6" max="6" width="33.85546875" customWidth="1"/>
    <col min="7" max="7" width="17.5703125" customWidth="1"/>
    <col min="8" max="8" width="17.85546875" customWidth="1"/>
    <col min="9" max="9" width="6.7109375" customWidth="1"/>
    <col min="10" max="10" width="13" customWidth="1"/>
    <col min="12" max="12" width="9.42578125" customWidth="1"/>
  </cols>
  <sheetData>
    <row r="1" spans="1:12" ht="38.25" customHeight="1" x14ac:dyDescent="0.25">
      <c r="A1" s="13" t="s">
        <v>58</v>
      </c>
      <c r="B1" s="13"/>
      <c r="C1" s="13"/>
      <c r="D1" s="13"/>
      <c r="E1" s="13"/>
      <c r="F1" s="13"/>
      <c r="G1" s="13"/>
      <c r="H1" s="13"/>
    </row>
    <row r="2" spans="1:12" ht="22.5" customHeight="1" x14ac:dyDescent="0.25">
      <c r="A2" s="10" t="s">
        <v>0</v>
      </c>
      <c r="B2" s="10" t="s">
        <v>2</v>
      </c>
      <c r="C2" s="10" t="s">
        <v>60</v>
      </c>
      <c r="D2" s="10" t="s">
        <v>3</v>
      </c>
      <c r="E2" s="10" t="s">
        <v>61</v>
      </c>
      <c r="F2" s="10" t="s">
        <v>62</v>
      </c>
      <c r="G2" s="10" t="s">
        <v>4</v>
      </c>
      <c r="H2" s="10" t="s">
        <v>5</v>
      </c>
      <c r="I2" s="16" t="s">
        <v>63</v>
      </c>
      <c r="J2" s="16"/>
      <c r="K2" s="14">
        <f>IFERROR(INDEX(H:H,MATCH(9.99999999999999E+307,H:H)),"")</f>
        <v>1945805.11</v>
      </c>
      <c r="L2" s="15"/>
    </row>
    <row r="3" spans="1:12" x14ac:dyDescent="0.25">
      <c r="A3" s="12">
        <v>42304</v>
      </c>
      <c r="B3" s="6" t="s">
        <v>16</v>
      </c>
      <c r="C3" s="6">
        <v>17319</v>
      </c>
      <c r="D3" s="6"/>
      <c r="E3" s="6" t="s">
        <v>185</v>
      </c>
      <c r="F3" s="8" t="s">
        <v>190</v>
      </c>
      <c r="G3" s="1">
        <v>0</v>
      </c>
      <c r="H3" s="1">
        <f t="shared" ref="H3:H34" si="0">IFERROR(G3+C3+D3,"")</f>
        <v>17319</v>
      </c>
    </row>
    <row r="4" spans="1:12" x14ac:dyDescent="0.25">
      <c r="A4" s="3">
        <v>42304</v>
      </c>
      <c r="B4" s="6" t="s">
        <v>17</v>
      </c>
      <c r="C4" s="6"/>
      <c r="D4" s="6">
        <v>-6741</v>
      </c>
      <c r="E4" s="6" t="s">
        <v>185</v>
      </c>
      <c r="F4" s="8" t="s">
        <v>25</v>
      </c>
      <c r="G4" s="1">
        <f t="shared" ref="G4:G29" si="1">IF(A4&lt;&gt;"",H3,"")</f>
        <v>17319</v>
      </c>
      <c r="H4" s="1">
        <f t="shared" si="0"/>
        <v>10578</v>
      </c>
    </row>
    <row r="5" spans="1:12" x14ac:dyDescent="0.25">
      <c r="A5" s="3">
        <v>42305</v>
      </c>
      <c r="B5" s="6" t="s">
        <v>16</v>
      </c>
      <c r="C5" s="6">
        <v>11082</v>
      </c>
      <c r="D5" s="6"/>
      <c r="E5" s="6" t="s">
        <v>185</v>
      </c>
      <c r="F5" s="8" t="s">
        <v>191</v>
      </c>
      <c r="G5" s="1">
        <f t="shared" si="1"/>
        <v>10578</v>
      </c>
      <c r="H5" s="1">
        <f t="shared" si="0"/>
        <v>21660</v>
      </c>
      <c r="J5" s="9"/>
    </row>
    <row r="6" spans="1:12" x14ac:dyDescent="0.25">
      <c r="A6" s="3">
        <v>42305</v>
      </c>
      <c r="B6" s="6" t="s">
        <v>17</v>
      </c>
      <c r="C6" s="6"/>
      <c r="D6" s="6">
        <v>-28633</v>
      </c>
      <c r="E6" s="6" t="s">
        <v>185</v>
      </c>
      <c r="F6" s="8" t="s">
        <v>186</v>
      </c>
      <c r="G6" s="1">
        <f t="shared" si="1"/>
        <v>21660</v>
      </c>
      <c r="H6" s="1">
        <f t="shared" si="0"/>
        <v>-6973</v>
      </c>
      <c r="J6" s="9"/>
    </row>
    <row r="7" spans="1:12" x14ac:dyDescent="0.25">
      <c r="A7" s="3">
        <v>42306</v>
      </c>
      <c r="B7" s="6" t="s">
        <v>16</v>
      </c>
      <c r="C7" s="6">
        <v>8901</v>
      </c>
      <c r="D7" s="6"/>
      <c r="E7" s="6" t="s">
        <v>185</v>
      </c>
      <c r="F7" s="8" t="s">
        <v>36</v>
      </c>
      <c r="G7" s="1">
        <f t="shared" si="1"/>
        <v>-6973</v>
      </c>
      <c r="H7" s="1">
        <f t="shared" si="0"/>
        <v>1928</v>
      </c>
      <c r="L7" s="11"/>
    </row>
    <row r="8" spans="1:12" x14ac:dyDescent="0.25">
      <c r="A8" s="3">
        <v>42307</v>
      </c>
      <c r="B8" s="6" t="s">
        <v>16</v>
      </c>
      <c r="C8" s="6">
        <v>34519</v>
      </c>
      <c r="D8" s="6"/>
      <c r="E8" s="17" t="s">
        <v>185</v>
      </c>
      <c r="F8" s="8" t="s">
        <v>192</v>
      </c>
      <c r="G8" s="1">
        <f t="shared" si="1"/>
        <v>1928</v>
      </c>
      <c r="H8" s="1">
        <f t="shared" si="0"/>
        <v>36447</v>
      </c>
    </row>
    <row r="9" spans="1:12" x14ac:dyDescent="0.25">
      <c r="A9" s="3">
        <v>42307</v>
      </c>
      <c r="B9" s="6" t="s">
        <v>17</v>
      </c>
      <c r="C9" s="12"/>
      <c r="D9" s="6">
        <v>-3405</v>
      </c>
      <c r="E9" s="6" t="s">
        <v>185</v>
      </c>
      <c r="F9" s="8" t="s">
        <v>39</v>
      </c>
      <c r="G9" s="1">
        <f t="shared" si="1"/>
        <v>36447</v>
      </c>
      <c r="H9" s="1">
        <f t="shared" si="0"/>
        <v>33042</v>
      </c>
    </row>
    <row r="10" spans="1:12" x14ac:dyDescent="0.25">
      <c r="A10" s="3">
        <v>42310</v>
      </c>
      <c r="B10" s="6" t="s">
        <v>17</v>
      </c>
      <c r="C10" s="6"/>
      <c r="D10" s="6">
        <v>-21286</v>
      </c>
      <c r="E10" s="6" t="s">
        <v>185</v>
      </c>
      <c r="F10" s="8" t="s">
        <v>198</v>
      </c>
      <c r="G10" s="1">
        <f t="shared" si="1"/>
        <v>33042</v>
      </c>
      <c r="H10" s="1">
        <f t="shared" si="0"/>
        <v>11756</v>
      </c>
    </row>
    <row r="11" spans="1:12" x14ac:dyDescent="0.25">
      <c r="A11" s="3">
        <v>42310</v>
      </c>
      <c r="B11" s="6" t="s">
        <v>16</v>
      </c>
      <c r="C11" s="6">
        <v>29300</v>
      </c>
      <c r="D11" s="6"/>
      <c r="E11" s="6" t="s">
        <v>185</v>
      </c>
      <c r="F11" s="8" t="s">
        <v>199</v>
      </c>
      <c r="G11" s="1">
        <f t="shared" si="1"/>
        <v>11756</v>
      </c>
      <c r="H11" s="1">
        <f t="shared" si="0"/>
        <v>41056</v>
      </c>
      <c r="J11" s="18"/>
    </row>
    <row r="12" spans="1:12" x14ac:dyDescent="0.25">
      <c r="A12" s="3">
        <v>42311</v>
      </c>
      <c r="B12" s="6" t="s">
        <v>16</v>
      </c>
      <c r="C12" s="6">
        <v>19663</v>
      </c>
      <c r="D12" s="6"/>
      <c r="E12" s="6" t="s">
        <v>185</v>
      </c>
      <c r="F12" s="8" t="s">
        <v>193</v>
      </c>
      <c r="G12" s="1">
        <f t="shared" si="1"/>
        <v>41056</v>
      </c>
      <c r="H12" s="1">
        <f t="shared" si="0"/>
        <v>60719</v>
      </c>
    </row>
    <row r="13" spans="1:12" x14ac:dyDescent="0.25">
      <c r="A13" s="3">
        <v>42312</v>
      </c>
      <c r="B13" s="6" t="s">
        <v>17</v>
      </c>
      <c r="C13" s="6"/>
      <c r="D13" s="6">
        <v>-19533</v>
      </c>
      <c r="E13" s="6" t="s">
        <v>185</v>
      </c>
      <c r="F13" s="8" t="s">
        <v>64</v>
      </c>
      <c r="G13" s="1">
        <f t="shared" si="1"/>
        <v>60719</v>
      </c>
      <c r="H13" s="1">
        <f t="shared" si="0"/>
        <v>41186</v>
      </c>
    </row>
    <row r="14" spans="1:12" x14ac:dyDescent="0.25">
      <c r="A14" s="3">
        <v>42313</v>
      </c>
      <c r="B14" s="6" t="s">
        <v>17</v>
      </c>
      <c r="C14" s="6"/>
      <c r="D14" s="6">
        <v>-21356</v>
      </c>
      <c r="E14" s="6" t="s">
        <v>185</v>
      </c>
      <c r="F14" s="8" t="s">
        <v>65</v>
      </c>
      <c r="G14" s="1">
        <f t="shared" si="1"/>
        <v>41186</v>
      </c>
      <c r="H14" s="1">
        <f t="shared" si="0"/>
        <v>19830</v>
      </c>
    </row>
    <row r="15" spans="1:12" x14ac:dyDescent="0.25">
      <c r="A15" s="3">
        <v>42313</v>
      </c>
      <c r="B15" s="6" t="s">
        <v>16</v>
      </c>
      <c r="C15" s="6">
        <v>24555</v>
      </c>
      <c r="D15" s="6"/>
      <c r="E15" s="6" t="s">
        <v>185</v>
      </c>
      <c r="F15" s="8" t="s">
        <v>66</v>
      </c>
      <c r="G15" s="1">
        <f t="shared" si="1"/>
        <v>19830</v>
      </c>
      <c r="H15" s="1">
        <f t="shared" si="0"/>
        <v>44385</v>
      </c>
    </row>
    <row r="16" spans="1:12" x14ac:dyDescent="0.25">
      <c r="A16" s="3">
        <v>42315</v>
      </c>
      <c r="B16" s="6" t="s">
        <v>16</v>
      </c>
      <c r="C16" s="6">
        <v>62938</v>
      </c>
      <c r="D16" s="6"/>
      <c r="E16" s="6" t="s">
        <v>185</v>
      </c>
      <c r="F16" s="8" t="s">
        <v>200</v>
      </c>
      <c r="G16" s="1">
        <f t="shared" si="1"/>
        <v>44385</v>
      </c>
      <c r="H16" s="1">
        <f t="shared" si="0"/>
        <v>107323</v>
      </c>
    </row>
    <row r="17" spans="1:8" x14ac:dyDescent="0.25">
      <c r="A17" s="3">
        <v>42315</v>
      </c>
      <c r="B17" s="6" t="s">
        <v>17</v>
      </c>
      <c r="C17" s="6"/>
      <c r="D17" s="6">
        <v>-32527.4</v>
      </c>
      <c r="E17" s="6" t="s">
        <v>185</v>
      </c>
      <c r="F17" s="8" t="s">
        <v>68</v>
      </c>
      <c r="G17" s="1">
        <f t="shared" si="1"/>
        <v>107323</v>
      </c>
      <c r="H17" s="1">
        <f t="shared" si="0"/>
        <v>74795.600000000006</v>
      </c>
    </row>
    <row r="18" spans="1:8" x14ac:dyDescent="0.25">
      <c r="A18" s="3">
        <v>42318</v>
      </c>
      <c r="B18" s="6" t="s">
        <v>16</v>
      </c>
      <c r="C18" s="6">
        <v>40992.6</v>
      </c>
      <c r="D18" s="6"/>
      <c r="E18" s="6" t="s">
        <v>185</v>
      </c>
      <c r="F18" s="8" t="s">
        <v>70</v>
      </c>
      <c r="G18" s="1">
        <f t="shared" si="1"/>
        <v>74795.600000000006</v>
      </c>
      <c r="H18" s="1">
        <f t="shared" si="0"/>
        <v>115788.20000000001</v>
      </c>
    </row>
    <row r="19" spans="1:8" x14ac:dyDescent="0.25">
      <c r="A19" s="3">
        <v>42319</v>
      </c>
      <c r="B19" s="6" t="s">
        <v>17</v>
      </c>
      <c r="C19" s="6"/>
      <c r="D19" s="6">
        <v>-94683</v>
      </c>
      <c r="E19" s="6" t="s">
        <v>185</v>
      </c>
      <c r="F19" s="8" t="s">
        <v>201</v>
      </c>
      <c r="G19" s="1">
        <f t="shared" si="1"/>
        <v>115788.20000000001</v>
      </c>
      <c r="H19" s="1">
        <f t="shared" si="0"/>
        <v>21105.200000000012</v>
      </c>
    </row>
    <row r="20" spans="1:8" x14ac:dyDescent="0.25">
      <c r="A20" s="3">
        <v>42319</v>
      </c>
      <c r="B20" s="6" t="s">
        <v>16</v>
      </c>
      <c r="C20" s="6">
        <v>53690.400000000001</v>
      </c>
      <c r="D20" s="6"/>
      <c r="E20" s="6" t="s">
        <v>185</v>
      </c>
      <c r="F20" s="8" t="s">
        <v>73</v>
      </c>
      <c r="G20" s="1">
        <f t="shared" si="1"/>
        <v>21105.200000000012</v>
      </c>
      <c r="H20" s="1">
        <f t="shared" si="0"/>
        <v>74795.600000000006</v>
      </c>
    </row>
    <row r="21" spans="1:8" x14ac:dyDescent="0.25">
      <c r="A21" s="3">
        <v>42322</v>
      </c>
      <c r="B21" s="6" t="s">
        <v>16</v>
      </c>
      <c r="C21" s="6">
        <v>57923</v>
      </c>
      <c r="D21" s="6"/>
      <c r="E21" s="6" t="s">
        <v>185</v>
      </c>
      <c r="F21" s="8" t="s">
        <v>74</v>
      </c>
      <c r="G21" s="1">
        <f t="shared" si="1"/>
        <v>74795.600000000006</v>
      </c>
      <c r="H21" s="1">
        <f t="shared" si="0"/>
        <v>132718.6</v>
      </c>
    </row>
    <row r="22" spans="1:8" x14ac:dyDescent="0.25">
      <c r="A22" s="3">
        <v>42323</v>
      </c>
      <c r="B22" s="6" t="s">
        <v>16</v>
      </c>
      <c r="C22" s="6">
        <v>199164.6</v>
      </c>
      <c r="D22" s="6"/>
      <c r="E22" s="6" t="s">
        <v>185</v>
      </c>
      <c r="F22" s="8" t="s">
        <v>202</v>
      </c>
      <c r="G22" s="1">
        <f t="shared" si="1"/>
        <v>132718.6</v>
      </c>
      <c r="H22" s="1">
        <f t="shared" si="0"/>
        <v>331883.2</v>
      </c>
    </row>
    <row r="23" spans="1:8" x14ac:dyDescent="0.25">
      <c r="A23" s="3">
        <v>42326</v>
      </c>
      <c r="B23" s="6" t="s">
        <v>17</v>
      </c>
      <c r="C23" s="6"/>
      <c r="D23" s="6">
        <v>-74853.399999999994</v>
      </c>
      <c r="E23" s="6" t="s">
        <v>185</v>
      </c>
      <c r="F23" s="8" t="s">
        <v>78</v>
      </c>
      <c r="G23" s="1">
        <f t="shared" si="1"/>
        <v>331883.2</v>
      </c>
      <c r="H23" s="1">
        <f t="shared" si="0"/>
        <v>257029.80000000002</v>
      </c>
    </row>
    <row r="24" spans="1:8" x14ac:dyDescent="0.25">
      <c r="A24" s="3">
        <v>42327</v>
      </c>
      <c r="B24" s="6" t="s">
        <v>17</v>
      </c>
      <c r="C24" s="6"/>
      <c r="D24" s="6">
        <v>-79086</v>
      </c>
      <c r="E24" s="6" t="s">
        <v>185</v>
      </c>
      <c r="F24" s="8" t="s">
        <v>79</v>
      </c>
      <c r="G24" s="1">
        <f t="shared" si="1"/>
        <v>257029.80000000002</v>
      </c>
      <c r="H24" s="1">
        <f t="shared" si="0"/>
        <v>177943.80000000002</v>
      </c>
    </row>
    <row r="25" spans="1:8" x14ac:dyDescent="0.25">
      <c r="A25" s="3">
        <v>42328</v>
      </c>
      <c r="B25" s="6" t="s">
        <v>16</v>
      </c>
      <c r="C25" s="6">
        <v>358670</v>
      </c>
      <c r="D25" s="6"/>
      <c r="E25" s="6" t="s">
        <v>185</v>
      </c>
      <c r="F25" s="8" t="s">
        <v>203</v>
      </c>
      <c r="G25" s="1">
        <f t="shared" si="1"/>
        <v>177943.80000000002</v>
      </c>
      <c r="H25" s="1">
        <f t="shared" si="0"/>
        <v>536613.80000000005</v>
      </c>
    </row>
    <row r="26" spans="1:8" x14ac:dyDescent="0.25">
      <c r="A26" s="3">
        <v>42332</v>
      </c>
      <c r="B26" s="6" t="s">
        <v>16</v>
      </c>
      <c r="C26" s="6">
        <v>100249</v>
      </c>
      <c r="D26" s="6"/>
      <c r="E26" s="6" t="s">
        <v>185</v>
      </c>
      <c r="F26" s="8" t="s">
        <v>84</v>
      </c>
      <c r="G26" s="1">
        <f t="shared" si="1"/>
        <v>536613.80000000005</v>
      </c>
      <c r="H26" s="1">
        <f t="shared" si="0"/>
        <v>636862.80000000005</v>
      </c>
    </row>
    <row r="27" spans="1:8" x14ac:dyDescent="0.25">
      <c r="A27" s="3">
        <v>42304</v>
      </c>
      <c r="B27" s="6" t="s">
        <v>16</v>
      </c>
      <c r="C27" s="6">
        <v>38207</v>
      </c>
      <c r="D27" s="6"/>
      <c r="E27" s="6" t="s">
        <v>187</v>
      </c>
      <c r="F27" s="8" t="s">
        <v>194</v>
      </c>
      <c r="G27" s="1">
        <f t="shared" si="1"/>
        <v>636862.80000000005</v>
      </c>
      <c r="H27" s="1">
        <f t="shared" si="0"/>
        <v>675069.8</v>
      </c>
    </row>
    <row r="28" spans="1:8" x14ac:dyDescent="0.25">
      <c r="A28" s="3">
        <v>42304</v>
      </c>
      <c r="B28" s="6" t="s">
        <v>17</v>
      </c>
      <c r="C28" s="6"/>
      <c r="D28" s="6">
        <v>-24685</v>
      </c>
      <c r="E28" s="6" t="s">
        <v>187</v>
      </c>
      <c r="F28" s="8" t="s">
        <v>186</v>
      </c>
      <c r="G28" s="1">
        <f t="shared" si="1"/>
        <v>675069.8</v>
      </c>
      <c r="H28" s="1">
        <f t="shared" si="0"/>
        <v>650384.80000000005</v>
      </c>
    </row>
    <row r="29" spans="1:8" x14ac:dyDescent="0.25">
      <c r="A29" s="3">
        <v>42305</v>
      </c>
      <c r="B29" s="6" t="s">
        <v>16</v>
      </c>
      <c r="C29" s="6">
        <v>6306</v>
      </c>
      <c r="D29" s="6"/>
      <c r="E29" s="6" t="s">
        <v>187</v>
      </c>
      <c r="F29" s="8" t="s">
        <v>35</v>
      </c>
      <c r="G29" s="1">
        <f t="shared" si="1"/>
        <v>650384.80000000005</v>
      </c>
      <c r="H29" s="1">
        <f t="shared" si="0"/>
        <v>656690.80000000005</v>
      </c>
    </row>
    <row r="30" spans="1:8" x14ac:dyDescent="0.25">
      <c r="A30" s="3">
        <v>42305</v>
      </c>
      <c r="B30" s="6" t="s">
        <v>17</v>
      </c>
      <c r="C30" s="6"/>
      <c r="D30" s="6">
        <v>-21132</v>
      </c>
      <c r="E30" s="6" t="s">
        <v>187</v>
      </c>
      <c r="F30" s="8" t="s">
        <v>188</v>
      </c>
      <c r="G30" s="1">
        <f t="shared" ref="G30:G55" si="2">IF(A30&lt;&gt;"",H29,"")</f>
        <v>656690.80000000005</v>
      </c>
      <c r="H30" s="1">
        <f t="shared" si="0"/>
        <v>635558.80000000005</v>
      </c>
    </row>
    <row r="31" spans="1:8" x14ac:dyDescent="0.25">
      <c r="A31" s="3">
        <v>42306</v>
      </c>
      <c r="B31" s="6" t="s">
        <v>16</v>
      </c>
      <c r="C31" s="6">
        <v>20657</v>
      </c>
      <c r="D31" s="6"/>
      <c r="E31" s="6" t="s">
        <v>187</v>
      </c>
      <c r="F31" s="8" t="s">
        <v>195</v>
      </c>
      <c r="G31" s="1">
        <f t="shared" si="2"/>
        <v>635558.80000000005</v>
      </c>
      <c r="H31" s="1">
        <f t="shared" si="0"/>
        <v>656215.80000000005</v>
      </c>
    </row>
    <row r="32" spans="1:8" x14ac:dyDescent="0.25">
      <c r="A32" s="3">
        <v>42306</v>
      </c>
      <c r="B32" s="6" t="s">
        <v>17</v>
      </c>
      <c r="C32" s="6"/>
      <c r="D32" s="6">
        <v>-6723</v>
      </c>
      <c r="E32" s="6" t="s">
        <v>187</v>
      </c>
      <c r="F32" s="8" t="s">
        <v>39</v>
      </c>
      <c r="G32" s="1">
        <f t="shared" si="2"/>
        <v>656215.80000000005</v>
      </c>
      <c r="H32" s="1">
        <f t="shared" si="0"/>
        <v>649492.80000000005</v>
      </c>
    </row>
    <row r="33" spans="1:8" x14ac:dyDescent="0.25">
      <c r="A33" s="3">
        <v>42307</v>
      </c>
      <c r="B33" s="6" t="s">
        <v>16</v>
      </c>
      <c r="C33" s="6">
        <v>2311</v>
      </c>
      <c r="D33" s="6"/>
      <c r="E33" s="6" t="s">
        <v>187</v>
      </c>
      <c r="F33" s="8" t="s">
        <v>42</v>
      </c>
      <c r="G33" s="1">
        <f t="shared" si="2"/>
        <v>649492.80000000005</v>
      </c>
      <c r="H33" s="1">
        <f t="shared" si="0"/>
        <v>651803.80000000005</v>
      </c>
    </row>
    <row r="34" spans="1:8" x14ac:dyDescent="0.25">
      <c r="A34" s="3">
        <v>42308</v>
      </c>
      <c r="B34" s="6" t="s">
        <v>17</v>
      </c>
      <c r="C34" s="6"/>
      <c r="D34" s="6">
        <v>-2160</v>
      </c>
      <c r="E34" s="6" t="s">
        <v>187</v>
      </c>
      <c r="F34" s="8" t="s">
        <v>43</v>
      </c>
      <c r="G34" s="1">
        <f>IF(A34&lt;&gt;"",H33,"")</f>
        <v>651803.80000000005</v>
      </c>
      <c r="H34" s="1">
        <f>IFERROR(G34+C34+D34,"")</f>
        <v>649643.80000000005</v>
      </c>
    </row>
    <row r="35" spans="1:8" x14ac:dyDescent="0.25">
      <c r="A35" s="3">
        <v>42309</v>
      </c>
      <c r="B35" s="6" t="s">
        <v>16</v>
      </c>
      <c r="C35" s="6">
        <v>6115</v>
      </c>
      <c r="D35" s="6"/>
      <c r="E35" s="6" t="s">
        <v>187</v>
      </c>
      <c r="F35" s="8" t="s">
        <v>44</v>
      </c>
      <c r="G35" s="1">
        <f t="shared" si="2"/>
        <v>649643.80000000005</v>
      </c>
      <c r="H35" s="1">
        <f t="shared" ref="H35:H66" si="3">IFERROR(G35+C35+D35,"")</f>
        <v>655758.80000000005</v>
      </c>
    </row>
    <row r="36" spans="1:8" x14ac:dyDescent="0.25">
      <c r="A36" s="3">
        <v>42310</v>
      </c>
      <c r="B36" s="6" t="s">
        <v>17</v>
      </c>
      <c r="C36" s="6"/>
      <c r="D36" s="6">
        <v>-4963</v>
      </c>
      <c r="E36" s="6" t="s">
        <v>187</v>
      </c>
      <c r="F36" s="8" t="s">
        <v>45</v>
      </c>
      <c r="G36" s="1">
        <f t="shared" si="2"/>
        <v>655758.80000000005</v>
      </c>
      <c r="H36" s="1">
        <f t="shared" si="3"/>
        <v>650795.80000000005</v>
      </c>
    </row>
    <row r="37" spans="1:8" x14ac:dyDescent="0.25">
      <c r="A37" s="3">
        <v>42311</v>
      </c>
      <c r="B37" s="6" t="s">
        <v>17</v>
      </c>
      <c r="C37" s="6"/>
      <c r="D37" s="6">
        <v>-9989</v>
      </c>
      <c r="E37" s="6" t="s">
        <v>187</v>
      </c>
      <c r="F37" s="8" t="s">
        <v>46</v>
      </c>
      <c r="G37" s="1">
        <f t="shared" si="2"/>
        <v>650795.80000000005</v>
      </c>
      <c r="H37" s="1">
        <f t="shared" si="3"/>
        <v>640806.80000000005</v>
      </c>
    </row>
    <row r="38" spans="1:8" x14ac:dyDescent="0.25">
      <c r="A38" s="3">
        <v>42312</v>
      </c>
      <c r="B38" s="6" t="s">
        <v>17</v>
      </c>
      <c r="C38" s="6"/>
      <c r="D38" s="6">
        <v>-7339</v>
      </c>
      <c r="E38" s="6" t="s">
        <v>187</v>
      </c>
      <c r="F38" s="8" t="s">
        <v>47</v>
      </c>
      <c r="G38" s="1">
        <f t="shared" si="2"/>
        <v>640806.80000000005</v>
      </c>
      <c r="H38" s="1">
        <f t="shared" si="3"/>
        <v>633467.80000000005</v>
      </c>
    </row>
    <row r="39" spans="1:8" x14ac:dyDescent="0.25">
      <c r="A39" s="3">
        <v>42313</v>
      </c>
      <c r="B39" s="6" t="s">
        <v>16</v>
      </c>
      <c r="C39" s="6">
        <v>1163116.3700000001</v>
      </c>
      <c r="D39" s="6"/>
      <c r="E39" s="6" t="s">
        <v>187</v>
      </c>
      <c r="F39" s="8" t="s">
        <v>197</v>
      </c>
      <c r="G39" s="1">
        <f t="shared" si="2"/>
        <v>633467.80000000005</v>
      </c>
      <c r="H39" s="1">
        <f t="shared" si="3"/>
        <v>1796584.1700000002</v>
      </c>
    </row>
    <row r="40" spans="1:8" x14ac:dyDescent="0.25">
      <c r="A40" s="3">
        <v>42313</v>
      </c>
      <c r="B40" s="6" t="s">
        <v>17</v>
      </c>
      <c r="C40" s="6"/>
      <c r="D40" s="6">
        <v>-63078.06</v>
      </c>
      <c r="E40" s="6" t="s">
        <v>187</v>
      </c>
      <c r="F40" s="8" t="s">
        <v>196</v>
      </c>
      <c r="G40" s="1">
        <f t="shared" si="2"/>
        <v>1796584.1700000002</v>
      </c>
      <c r="H40" s="1">
        <f t="shared" si="3"/>
        <v>1733506.11</v>
      </c>
    </row>
    <row r="41" spans="1:8" x14ac:dyDescent="0.25">
      <c r="A41" s="3">
        <v>42007</v>
      </c>
      <c r="B41" s="6" t="s">
        <v>16</v>
      </c>
      <c r="C41" s="6">
        <v>8833</v>
      </c>
      <c r="D41" s="6"/>
      <c r="E41" s="6" t="s">
        <v>189</v>
      </c>
      <c r="F41" s="8" t="s">
        <v>22</v>
      </c>
      <c r="G41" s="1">
        <f t="shared" si="2"/>
        <v>1733506.11</v>
      </c>
      <c r="H41" s="1">
        <f t="shared" si="3"/>
        <v>1742339.11</v>
      </c>
    </row>
    <row r="42" spans="1:8" x14ac:dyDescent="0.25">
      <c r="A42" s="3">
        <v>42008</v>
      </c>
      <c r="B42" s="6" t="s">
        <v>16</v>
      </c>
      <c r="C42" s="6">
        <v>8387</v>
      </c>
      <c r="D42" s="6"/>
      <c r="E42" s="6" t="s">
        <v>189</v>
      </c>
      <c r="F42" s="8" t="s">
        <v>23</v>
      </c>
      <c r="G42" s="1">
        <f t="shared" si="2"/>
        <v>1742339.11</v>
      </c>
      <c r="H42" s="1">
        <f t="shared" si="3"/>
        <v>1750726.11</v>
      </c>
    </row>
    <row r="43" spans="1:8" x14ac:dyDescent="0.25">
      <c r="A43" s="3">
        <v>42009</v>
      </c>
      <c r="B43" s="6" t="s">
        <v>16</v>
      </c>
      <c r="C43" s="6">
        <v>2099</v>
      </c>
      <c r="D43" s="6"/>
      <c r="E43" s="6" t="s">
        <v>189</v>
      </c>
      <c r="F43" s="8" t="s">
        <v>24</v>
      </c>
      <c r="G43" s="1">
        <f t="shared" si="2"/>
        <v>1750726.11</v>
      </c>
      <c r="H43" s="1">
        <f t="shared" si="3"/>
        <v>1752825.11</v>
      </c>
    </row>
    <row r="44" spans="1:8" x14ac:dyDescent="0.25">
      <c r="A44" s="3">
        <v>42010</v>
      </c>
      <c r="B44" s="6" t="s">
        <v>17</v>
      </c>
      <c r="C44" s="6"/>
      <c r="D44" s="6">
        <v>-6741</v>
      </c>
      <c r="E44" s="6" t="s">
        <v>189</v>
      </c>
      <c r="F44" s="8" t="s">
        <v>25</v>
      </c>
      <c r="G44" s="1">
        <f t="shared" si="2"/>
        <v>1752825.11</v>
      </c>
      <c r="H44" s="1">
        <f t="shared" si="3"/>
        <v>1746084.11</v>
      </c>
    </row>
    <row r="45" spans="1:8" x14ac:dyDescent="0.25">
      <c r="A45" s="3">
        <v>42011</v>
      </c>
      <c r="B45" s="6" t="s">
        <v>16</v>
      </c>
      <c r="C45" s="6">
        <v>8694</v>
      </c>
      <c r="D45" s="6"/>
      <c r="E45" s="6" t="s">
        <v>189</v>
      </c>
      <c r="F45" s="8" t="s">
        <v>26</v>
      </c>
      <c r="G45" s="1">
        <f t="shared" si="2"/>
        <v>1746084.11</v>
      </c>
      <c r="H45" s="1">
        <f t="shared" si="3"/>
        <v>1754778.11</v>
      </c>
    </row>
    <row r="46" spans="1:8" x14ac:dyDescent="0.25">
      <c r="A46" s="3">
        <v>42012</v>
      </c>
      <c r="B46" s="6" t="s">
        <v>17</v>
      </c>
      <c r="C46" s="6"/>
      <c r="D46" s="6">
        <v>-6167</v>
      </c>
      <c r="E46" s="6" t="s">
        <v>189</v>
      </c>
      <c r="F46" s="8" t="s">
        <v>27</v>
      </c>
      <c r="G46" s="1">
        <f t="shared" si="2"/>
        <v>1754778.11</v>
      </c>
      <c r="H46" s="1">
        <f t="shared" si="3"/>
        <v>1748611.11</v>
      </c>
    </row>
    <row r="47" spans="1:8" x14ac:dyDescent="0.25">
      <c r="A47" s="3">
        <v>42013</v>
      </c>
      <c r="B47" s="6" t="s">
        <v>17</v>
      </c>
      <c r="C47" s="6"/>
      <c r="D47" s="6">
        <v>-3512</v>
      </c>
      <c r="E47" s="6" t="s">
        <v>189</v>
      </c>
      <c r="F47" s="8" t="s">
        <v>28</v>
      </c>
      <c r="G47" s="1">
        <f t="shared" si="2"/>
        <v>1748611.11</v>
      </c>
      <c r="H47" s="1">
        <f t="shared" si="3"/>
        <v>1745099.11</v>
      </c>
    </row>
    <row r="48" spans="1:8" x14ac:dyDescent="0.25">
      <c r="A48" s="3">
        <v>42014</v>
      </c>
      <c r="B48" s="6" t="s">
        <v>17</v>
      </c>
      <c r="C48" s="6"/>
      <c r="D48" s="6">
        <v>-5665</v>
      </c>
      <c r="E48" s="6" t="s">
        <v>189</v>
      </c>
      <c r="F48" s="8" t="s">
        <v>29</v>
      </c>
      <c r="G48" s="1">
        <f t="shared" si="2"/>
        <v>1745099.11</v>
      </c>
      <c r="H48" s="1">
        <f t="shared" si="3"/>
        <v>1739434.11</v>
      </c>
    </row>
    <row r="49" spans="1:8" x14ac:dyDescent="0.25">
      <c r="A49" s="3">
        <v>42015</v>
      </c>
      <c r="B49" s="6" t="s">
        <v>17</v>
      </c>
      <c r="C49" s="6"/>
      <c r="D49" s="6">
        <v>-9126</v>
      </c>
      <c r="E49" s="6" t="s">
        <v>189</v>
      </c>
      <c r="F49" s="8" t="s">
        <v>30</v>
      </c>
      <c r="G49" s="1">
        <f t="shared" si="2"/>
        <v>1739434.11</v>
      </c>
      <c r="H49" s="1">
        <f t="shared" si="3"/>
        <v>1730308.11</v>
      </c>
    </row>
    <row r="50" spans="1:8" x14ac:dyDescent="0.25">
      <c r="A50" s="3">
        <v>42016</v>
      </c>
      <c r="B50" s="6" t="s">
        <v>17</v>
      </c>
      <c r="C50" s="6"/>
      <c r="D50" s="6">
        <v>-4163</v>
      </c>
      <c r="E50" s="6" t="s">
        <v>189</v>
      </c>
      <c r="F50" s="8" t="s">
        <v>31</v>
      </c>
      <c r="G50" s="1">
        <f t="shared" si="2"/>
        <v>1730308.11</v>
      </c>
      <c r="H50" s="1">
        <f t="shared" si="3"/>
        <v>1726145.11</v>
      </c>
    </row>
    <row r="51" spans="1:8" x14ac:dyDescent="0.25">
      <c r="A51" s="3">
        <v>42018</v>
      </c>
      <c r="B51" s="6" t="s">
        <v>16</v>
      </c>
      <c r="C51" s="6">
        <v>47388</v>
      </c>
      <c r="D51" s="6"/>
      <c r="E51" s="6" t="s">
        <v>189</v>
      </c>
      <c r="F51" s="8" t="s">
        <v>33</v>
      </c>
      <c r="G51" s="1">
        <f t="shared" si="2"/>
        <v>1726145.11</v>
      </c>
      <c r="H51" s="1">
        <f t="shared" si="3"/>
        <v>1773533.11</v>
      </c>
    </row>
    <row r="52" spans="1:8" x14ac:dyDescent="0.25">
      <c r="A52" s="3">
        <v>42021</v>
      </c>
      <c r="B52" s="6" t="s">
        <v>16</v>
      </c>
      <c r="C52" s="6">
        <v>8901</v>
      </c>
      <c r="D52" s="6"/>
      <c r="E52" s="6" t="s">
        <v>189</v>
      </c>
      <c r="F52" s="8" t="s">
        <v>36</v>
      </c>
      <c r="G52" s="1">
        <f t="shared" si="2"/>
        <v>1773533.11</v>
      </c>
      <c r="H52" s="1">
        <f t="shared" si="3"/>
        <v>1782434.11</v>
      </c>
    </row>
    <row r="53" spans="1:8" x14ac:dyDescent="0.25">
      <c r="A53" s="3">
        <v>42022</v>
      </c>
      <c r="B53" s="6" t="s">
        <v>16</v>
      </c>
      <c r="C53" s="6">
        <v>5569</v>
      </c>
      <c r="D53" s="6"/>
      <c r="E53" s="6" t="s">
        <v>189</v>
      </c>
      <c r="F53" s="8" t="s">
        <v>37</v>
      </c>
      <c r="G53" s="1">
        <f t="shared" si="2"/>
        <v>1782434.11</v>
      </c>
      <c r="H53" s="1">
        <f t="shared" si="3"/>
        <v>1788003.11</v>
      </c>
    </row>
    <row r="54" spans="1:8" x14ac:dyDescent="0.25">
      <c r="A54" s="3">
        <v>42023</v>
      </c>
      <c r="B54" s="6" t="s">
        <v>16</v>
      </c>
      <c r="C54" s="6">
        <v>88906</v>
      </c>
      <c r="D54" s="6"/>
      <c r="E54" s="6" t="s">
        <v>189</v>
      </c>
      <c r="F54" s="8" t="s">
        <v>38</v>
      </c>
      <c r="G54" s="1">
        <f t="shared" si="2"/>
        <v>1788003.11</v>
      </c>
      <c r="H54" s="1">
        <f t="shared" si="3"/>
        <v>1876909.11</v>
      </c>
    </row>
    <row r="55" spans="1:8" x14ac:dyDescent="0.25">
      <c r="A55" s="3">
        <v>42024</v>
      </c>
      <c r="B55" s="6" t="s">
        <v>17</v>
      </c>
      <c r="C55" s="6"/>
      <c r="D55" s="6">
        <v>-3405</v>
      </c>
      <c r="E55" s="6" t="s">
        <v>189</v>
      </c>
      <c r="F55" s="8" t="s">
        <v>39</v>
      </c>
      <c r="G55" s="1">
        <f t="shared" si="2"/>
        <v>1876909.11</v>
      </c>
      <c r="H55" s="1">
        <f t="shared" si="3"/>
        <v>1873504.11</v>
      </c>
    </row>
    <row r="56" spans="1:8" x14ac:dyDescent="0.25">
      <c r="A56" s="3">
        <v>42025</v>
      </c>
      <c r="B56" s="6" t="s">
        <v>16</v>
      </c>
      <c r="C56" s="6">
        <v>9326</v>
      </c>
      <c r="D56" s="6"/>
      <c r="E56" s="6" t="s">
        <v>189</v>
      </c>
      <c r="F56" s="6" t="s">
        <v>40</v>
      </c>
      <c r="G56" s="1">
        <f t="shared" ref="G56:G87" si="4">IFERROR(IF(A56&lt;&gt;"",H55,""),"")</f>
        <v>1873504.11</v>
      </c>
      <c r="H56" s="1">
        <f t="shared" si="3"/>
        <v>1882830.11</v>
      </c>
    </row>
    <row r="57" spans="1:8" x14ac:dyDescent="0.25">
      <c r="A57" s="3">
        <v>42026</v>
      </c>
      <c r="B57" s="6" t="s">
        <v>16</v>
      </c>
      <c r="C57" s="6">
        <v>855</v>
      </c>
      <c r="D57" s="6"/>
      <c r="E57" s="6" t="s">
        <v>189</v>
      </c>
      <c r="F57" s="6" t="s">
        <v>41</v>
      </c>
      <c r="G57" s="1">
        <f t="shared" si="4"/>
        <v>1882830.11</v>
      </c>
      <c r="H57" s="1">
        <f t="shared" si="3"/>
        <v>1883685.11</v>
      </c>
    </row>
    <row r="58" spans="1:8" x14ac:dyDescent="0.25">
      <c r="A58" s="3">
        <v>42027</v>
      </c>
      <c r="B58" s="6" t="s">
        <v>16</v>
      </c>
      <c r="C58" s="6">
        <v>19863</v>
      </c>
      <c r="D58" s="6"/>
      <c r="E58" s="6" t="s">
        <v>189</v>
      </c>
      <c r="F58" s="6" t="s">
        <v>42</v>
      </c>
      <c r="G58" s="1">
        <f t="shared" si="4"/>
        <v>1883685.11</v>
      </c>
      <c r="H58" s="1">
        <f t="shared" si="3"/>
        <v>1903548.11</v>
      </c>
    </row>
    <row r="59" spans="1:8" x14ac:dyDescent="0.25">
      <c r="A59" s="3">
        <v>42028</v>
      </c>
      <c r="B59" s="6" t="s">
        <v>17</v>
      </c>
      <c r="C59" s="6"/>
      <c r="D59" s="6">
        <v>-2813</v>
      </c>
      <c r="E59" s="6" t="s">
        <v>189</v>
      </c>
      <c r="F59" s="6" t="s">
        <v>43</v>
      </c>
      <c r="G59" s="1">
        <f t="shared" si="4"/>
        <v>1903548.11</v>
      </c>
      <c r="H59" s="1">
        <f t="shared" si="3"/>
        <v>1900735.11</v>
      </c>
    </row>
    <row r="60" spans="1:8" x14ac:dyDescent="0.25">
      <c r="A60" s="3">
        <v>42029</v>
      </c>
      <c r="B60" s="6" t="s">
        <v>16</v>
      </c>
      <c r="C60" s="6">
        <v>31294</v>
      </c>
      <c r="D60" s="6"/>
      <c r="E60" s="6" t="s">
        <v>189</v>
      </c>
      <c r="F60" s="6" t="s">
        <v>44</v>
      </c>
      <c r="G60" s="1">
        <f t="shared" si="4"/>
        <v>1900735.11</v>
      </c>
      <c r="H60" s="1">
        <f t="shared" si="3"/>
        <v>1932029.11</v>
      </c>
    </row>
    <row r="61" spans="1:8" x14ac:dyDescent="0.25">
      <c r="A61" s="3">
        <v>42030</v>
      </c>
      <c r="B61" s="6" t="s">
        <v>17</v>
      </c>
      <c r="C61" s="6"/>
      <c r="D61" s="6">
        <v>-6929</v>
      </c>
      <c r="E61" s="6" t="s">
        <v>189</v>
      </c>
      <c r="F61" s="6" t="s">
        <v>45</v>
      </c>
      <c r="G61" s="1">
        <f t="shared" si="4"/>
        <v>1932029.11</v>
      </c>
      <c r="H61" s="1">
        <f t="shared" si="3"/>
        <v>1925100.11</v>
      </c>
    </row>
    <row r="62" spans="1:8" x14ac:dyDescent="0.25">
      <c r="A62" s="3">
        <v>42031</v>
      </c>
      <c r="B62" s="6" t="s">
        <v>17</v>
      </c>
      <c r="C62" s="6"/>
      <c r="D62" s="6">
        <v>-9471</v>
      </c>
      <c r="E62" s="6" t="s">
        <v>189</v>
      </c>
      <c r="F62" s="6" t="s">
        <v>46</v>
      </c>
      <c r="G62" s="1">
        <f t="shared" si="4"/>
        <v>1925100.11</v>
      </c>
      <c r="H62" s="1">
        <f t="shared" si="3"/>
        <v>1915629.11</v>
      </c>
    </row>
    <row r="63" spans="1:8" x14ac:dyDescent="0.25">
      <c r="A63" s="3">
        <v>42032</v>
      </c>
      <c r="B63" s="4" t="s">
        <v>17</v>
      </c>
      <c r="C63" s="4"/>
      <c r="D63" s="4">
        <v>-3650</v>
      </c>
      <c r="E63" s="4" t="s">
        <v>189</v>
      </c>
      <c r="F63" s="4" t="s">
        <v>47</v>
      </c>
      <c r="G63" s="1">
        <f t="shared" si="4"/>
        <v>1915629.11</v>
      </c>
      <c r="H63" s="1">
        <f t="shared" si="3"/>
        <v>1911979.11</v>
      </c>
    </row>
    <row r="64" spans="1:8" x14ac:dyDescent="0.25">
      <c r="A64" s="3">
        <v>42033</v>
      </c>
      <c r="B64" s="4" t="s">
        <v>17</v>
      </c>
      <c r="C64" s="4"/>
      <c r="D64" s="4">
        <v>-4581</v>
      </c>
      <c r="E64" s="4" t="s">
        <v>189</v>
      </c>
      <c r="F64" s="4" t="s">
        <v>48</v>
      </c>
      <c r="G64" s="1">
        <f t="shared" si="4"/>
        <v>1911979.11</v>
      </c>
      <c r="H64" s="1">
        <f t="shared" si="3"/>
        <v>1907398.11</v>
      </c>
    </row>
    <row r="65" spans="1:8" x14ac:dyDescent="0.25">
      <c r="A65" s="3">
        <v>42034</v>
      </c>
      <c r="B65" s="4" t="s">
        <v>17</v>
      </c>
      <c r="C65" s="4"/>
      <c r="D65" s="4">
        <v>-11894</v>
      </c>
      <c r="E65" s="4" t="s">
        <v>189</v>
      </c>
      <c r="F65" s="4" t="s">
        <v>49</v>
      </c>
      <c r="G65" s="1">
        <f t="shared" si="4"/>
        <v>1907398.11</v>
      </c>
      <c r="H65" s="1">
        <f t="shared" si="3"/>
        <v>1895504.11</v>
      </c>
    </row>
    <row r="66" spans="1:8" x14ac:dyDescent="0.25">
      <c r="A66" s="3">
        <v>42035</v>
      </c>
      <c r="B66" s="4" t="s">
        <v>16</v>
      </c>
      <c r="C66" s="4">
        <v>9109</v>
      </c>
      <c r="D66" s="4"/>
      <c r="E66" s="4" t="s">
        <v>189</v>
      </c>
      <c r="F66" s="4" t="s">
        <v>50</v>
      </c>
      <c r="G66" s="1">
        <f t="shared" si="4"/>
        <v>1895504.11</v>
      </c>
      <c r="H66" s="1">
        <f t="shared" si="3"/>
        <v>1904613.11</v>
      </c>
    </row>
    <row r="67" spans="1:8" x14ac:dyDescent="0.25">
      <c r="A67" s="3">
        <v>42036</v>
      </c>
      <c r="B67" s="4" t="s">
        <v>16</v>
      </c>
      <c r="C67" s="4">
        <v>44845</v>
      </c>
      <c r="D67" s="4"/>
      <c r="E67" s="4" t="s">
        <v>189</v>
      </c>
      <c r="F67" s="4" t="s">
        <v>51</v>
      </c>
      <c r="G67" s="1">
        <f t="shared" si="4"/>
        <v>1904613.11</v>
      </c>
      <c r="H67" s="1">
        <f t="shared" ref="H67:H98" si="5">IFERROR(G67+C67+D67,"")</f>
        <v>1949458.11</v>
      </c>
    </row>
    <row r="68" spans="1:8" x14ac:dyDescent="0.25">
      <c r="A68" s="3">
        <v>42039</v>
      </c>
      <c r="B68" s="4" t="s">
        <v>16</v>
      </c>
      <c r="C68" s="4">
        <v>8005</v>
      </c>
      <c r="D68" s="4"/>
      <c r="E68" s="4" t="s">
        <v>189</v>
      </c>
      <c r="F68" s="4" t="s">
        <v>54</v>
      </c>
      <c r="G68" s="1">
        <f t="shared" si="4"/>
        <v>1949458.11</v>
      </c>
      <c r="H68" s="1">
        <f t="shared" si="5"/>
        <v>1957463.11</v>
      </c>
    </row>
    <row r="69" spans="1:8" x14ac:dyDescent="0.25">
      <c r="A69" s="3">
        <v>42041</v>
      </c>
      <c r="B69" s="4" t="s">
        <v>17</v>
      </c>
      <c r="C69" s="4"/>
      <c r="D69" s="4">
        <v>-4132</v>
      </c>
      <c r="E69" s="4" t="s">
        <v>189</v>
      </c>
      <c r="F69" s="4" t="s">
        <v>56</v>
      </c>
      <c r="G69" s="1">
        <f t="shared" si="4"/>
        <v>1957463.11</v>
      </c>
      <c r="H69" s="1">
        <f t="shared" si="5"/>
        <v>1953331.11</v>
      </c>
    </row>
    <row r="70" spans="1:8" x14ac:dyDescent="0.25">
      <c r="A70" s="3">
        <v>42042</v>
      </c>
      <c r="B70" s="4" t="s">
        <v>17</v>
      </c>
      <c r="C70" s="4"/>
      <c r="D70" s="4">
        <v>-7526</v>
      </c>
      <c r="E70" s="4" t="s">
        <v>189</v>
      </c>
      <c r="F70" s="4" t="s">
        <v>57</v>
      </c>
      <c r="G70" s="1">
        <f t="shared" si="4"/>
        <v>1953331.11</v>
      </c>
      <c r="H70" s="1">
        <f t="shared" si="5"/>
        <v>1945805.11</v>
      </c>
    </row>
    <row r="71" spans="1:8" x14ac:dyDescent="0.25">
      <c r="A71" s="3"/>
      <c r="B71" s="4"/>
      <c r="C71" s="4"/>
      <c r="D71" s="4"/>
      <c r="E71" s="4"/>
      <c r="F71" s="4"/>
      <c r="G71" s="1" t="str">
        <f t="shared" si="4"/>
        <v/>
      </c>
      <c r="H71" s="1" t="str">
        <f t="shared" si="5"/>
        <v/>
      </c>
    </row>
    <row r="72" spans="1:8" x14ac:dyDescent="0.25">
      <c r="A72" s="3"/>
      <c r="B72" s="4"/>
      <c r="C72" s="4"/>
      <c r="D72" s="4"/>
      <c r="E72" s="4"/>
      <c r="F72" s="4"/>
      <c r="G72" s="1" t="str">
        <f t="shared" si="4"/>
        <v/>
      </c>
      <c r="H72" s="1" t="str">
        <f t="shared" si="5"/>
        <v/>
      </c>
    </row>
    <row r="73" spans="1:8" x14ac:dyDescent="0.25">
      <c r="A73" s="3"/>
      <c r="B73" s="4"/>
      <c r="C73" s="4"/>
      <c r="D73" s="4"/>
      <c r="E73" s="4"/>
      <c r="F73" s="4"/>
      <c r="G73" s="1" t="str">
        <f t="shared" si="4"/>
        <v/>
      </c>
      <c r="H73" s="1" t="str">
        <f t="shared" si="5"/>
        <v/>
      </c>
    </row>
    <row r="74" spans="1:8" x14ac:dyDescent="0.25">
      <c r="A74" s="3"/>
      <c r="B74" s="4"/>
      <c r="C74" s="4"/>
      <c r="D74" s="4"/>
      <c r="E74" s="4"/>
      <c r="F74" s="4"/>
      <c r="G74" s="1" t="str">
        <f t="shared" si="4"/>
        <v/>
      </c>
      <c r="H74" s="1" t="str">
        <f t="shared" si="5"/>
        <v/>
      </c>
    </row>
    <row r="75" spans="1:8" x14ac:dyDescent="0.25">
      <c r="A75" s="3"/>
      <c r="B75" s="4"/>
      <c r="C75" s="4"/>
      <c r="D75" s="4"/>
      <c r="E75" s="4"/>
      <c r="F75" s="4"/>
      <c r="G75" s="1" t="str">
        <f t="shared" si="4"/>
        <v/>
      </c>
      <c r="H75" s="1" t="str">
        <f t="shared" si="5"/>
        <v/>
      </c>
    </row>
    <row r="76" spans="1:8" x14ac:dyDescent="0.25">
      <c r="A76" s="3"/>
      <c r="B76" s="4"/>
      <c r="C76" s="4"/>
      <c r="D76" s="4"/>
      <c r="E76" s="4"/>
      <c r="F76" s="4"/>
      <c r="G76" s="1" t="str">
        <f t="shared" si="4"/>
        <v/>
      </c>
      <c r="H76" s="1" t="str">
        <f t="shared" si="5"/>
        <v/>
      </c>
    </row>
    <row r="77" spans="1:8" x14ac:dyDescent="0.25">
      <c r="A77" s="3"/>
      <c r="B77" s="4"/>
      <c r="C77" s="4"/>
      <c r="D77" s="4"/>
      <c r="E77" s="4"/>
      <c r="F77" s="4"/>
      <c r="G77" s="1" t="str">
        <f t="shared" si="4"/>
        <v/>
      </c>
      <c r="H77" s="1" t="str">
        <f t="shared" si="5"/>
        <v/>
      </c>
    </row>
    <row r="78" spans="1:8" x14ac:dyDescent="0.25">
      <c r="A78" s="3"/>
      <c r="B78" s="4"/>
      <c r="C78" s="4"/>
      <c r="D78" s="4"/>
      <c r="E78" s="4"/>
      <c r="F78" s="4"/>
      <c r="G78" s="1" t="str">
        <f t="shared" si="4"/>
        <v/>
      </c>
      <c r="H78" s="1" t="str">
        <f t="shared" si="5"/>
        <v/>
      </c>
    </row>
    <row r="79" spans="1:8" x14ac:dyDescent="0.25">
      <c r="A79" s="3"/>
      <c r="B79" s="4"/>
      <c r="C79" s="4"/>
      <c r="D79" s="4"/>
      <c r="E79" s="4"/>
      <c r="F79" s="4"/>
      <c r="G79" s="1" t="str">
        <f t="shared" si="4"/>
        <v/>
      </c>
      <c r="H79" s="1" t="str">
        <f t="shared" si="5"/>
        <v/>
      </c>
    </row>
    <row r="80" spans="1:8" x14ac:dyDescent="0.25">
      <c r="A80" s="3"/>
      <c r="B80" s="4"/>
      <c r="C80" s="4"/>
      <c r="D80" s="4"/>
      <c r="E80" s="4"/>
      <c r="F80" s="4"/>
      <c r="G80" s="1" t="str">
        <f t="shared" si="4"/>
        <v/>
      </c>
      <c r="H80" s="1" t="str">
        <f t="shared" si="5"/>
        <v/>
      </c>
    </row>
    <row r="81" spans="1:8" x14ac:dyDescent="0.25">
      <c r="A81" s="3"/>
      <c r="B81" s="4"/>
      <c r="C81" s="4"/>
      <c r="D81" s="4"/>
      <c r="E81" s="4"/>
      <c r="F81" s="4"/>
      <c r="G81" s="1" t="str">
        <f t="shared" si="4"/>
        <v/>
      </c>
      <c r="H81" s="1" t="str">
        <f t="shared" si="5"/>
        <v/>
      </c>
    </row>
    <row r="82" spans="1:8" x14ac:dyDescent="0.25">
      <c r="A82" s="3"/>
      <c r="B82" s="4"/>
      <c r="C82" s="4"/>
      <c r="D82" s="4"/>
      <c r="E82" s="4"/>
      <c r="F82" s="4"/>
      <c r="G82" s="1" t="str">
        <f t="shared" si="4"/>
        <v/>
      </c>
      <c r="H82" s="1" t="str">
        <f t="shared" si="5"/>
        <v/>
      </c>
    </row>
    <row r="83" spans="1:8" x14ac:dyDescent="0.25">
      <c r="A83" s="3"/>
      <c r="B83" s="4"/>
      <c r="C83" s="4"/>
      <c r="D83" s="4"/>
      <c r="E83" s="4"/>
      <c r="F83" s="4"/>
      <c r="G83" s="1" t="str">
        <f t="shared" si="4"/>
        <v/>
      </c>
      <c r="H83" s="1" t="str">
        <f t="shared" si="5"/>
        <v/>
      </c>
    </row>
    <row r="84" spans="1:8" x14ac:dyDescent="0.25">
      <c r="A84" s="3"/>
      <c r="B84" s="4"/>
      <c r="C84" s="4"/>
      <c r="D84" s="4"/>
      <c r="E84" s="4"/>
      <c r="F84" s="4"/>
      <c r="G84" s="1" t="str">
        <f t="shared" si="4"/>
        <v/>
      </c>
      <c r="H84" s="1" t="str">
        <f t="shared" si="5"/>
        <v/>
      </c>
    </row>
    <row r="85" spans="1:8" x14ac:dyDescent="0.25">
      <c r="A85" s="3"/>
      <c r="B85" s="4"/>
      <c r="C85" s="4"/>
      <c r="D85" s="4"/>
      <c r="E85" s="4"/>
      <c r="F85" s="4"/>
      <c r="G85" s="1" t="str">
        <f t="shared" si="4"/>
        <v/>
      </c>
      <c r="H85" s="1" t="str">
        <f t="shared" si="5"/>
        <v/>
      </c>
    </row>
    <row r="86" spans="1:8" x14ac:dyDescent="0.25">
      <c r="A86" s="3"/>
      <c r="B86" s="4"/>
      <c r="C86" s="4"/>
      <c r="D86" s="4"/>
      <c r="E86" s="4"/>
      <c r="F86" s="4"/>
      <c r="G86" s="1" t="str">
        <f t="shared" si="4"/>
        <v/>
      </c>
      <c r="H86" s="1" t="str">
        <f t="shared" si="5"/>
        <v/>
      </c>
    </row>
    <row r="87" spans="1:8" x14ac:dyDescent="0.25">
      <c r="A87" s="3"/>
      <c r="B87" s="4"/>
      <c r="C87" s="4"/>
      <c r="D87" s="4"/>
      <c r="E87" s="4"/>
      <c r="F87" s="4"/>
      <c r="G87" s="1" t="str">
        <f t="shared" si="4"/>
        <v/>
      </c>
      <c r="H87" s="1" t="str">
        <f t="shared" si="5"/>
        <v/>
      </c>
    </row>
    <row r="88" spans="1:8" x14ac:dyDescent="0.25">
      <c r="A88" s="3"/>
      <c r="B88" s="4"/>
      <c r="C88" s="4"/>
      <c r="D88" s="4"/>
      <c r="E88" s="4"/>
      <c r="F88" s="4"/>
      <c r="G88" s="1" t="str">
        <f t="shared" ref="G88:G119" si="6">IFERROR(IF(A88&lt;&gt;"",H87,""),"")</f>
        <v/>
      </c>
      <c r="H88" s="1" t="str">
        <f t="shared" si="5"/>
        <v/>
      </c>
    </row>
    <row r="89" spans="1:8" x14ac:dyDescent="0.25">
      <c r="A89" s="3"/>
      <c r="B89" s="4"/>
      <c r="C89" s="4"/>
      <c r="D89" s="4"/>
      <c r="E89" s="4"/>
      <c r="F89" s="4"/>
      <c r="G89" s="1" t="str">
        <f t="shared" si="6"/>
        <v/>
      </c>
      <c r="H89" s="1" t="str">
        <f t="shared" si="5"/>
        <v/>
      </c>
    </row>
    <row r="90" spans="1:8" x14ac:dyDescent="0.25">
      <c r="A90" s="3"/>
      <c r="B90" s="4"/>
      <c r="C90" s="4"/>
      <c r="D90" s="4"/>
      <c r="E90" s="4"/>
      <c r="F90" s="4"/>
      <c r="G90" s="1" t="str">
        <f t="shared" si="6"/>
        <v/>
      </c>
      <c r="H90" s="1" t="str">
        <f t="shared" si="5"/>
        <v/>
      </c>
    </row>
    <row r="91" spans="1:8" x14ac:dyDescent="0.25">
      <c r="A91" s="3"/>
      <c r="B91" s="4"/>
      <c r="C91" s="4"/>
      <c r="D91" s="4"/>
      <c r="E91" s="4"/>
      <c r="F91" s="4"/>
      <c r="G91" s="1" t="str">
        <f t="shared" si="6"/>
        <v/>
      </c>
      <c r="H91" s="1" t="str">
        <f t="shared" si="5"/>
        <v/>
      </c>
    </row>
    <row r="92" spans="1:8" x14ac:dyDescent="0.25">
      <c r="A92" s="3"/>
      <c r="B92" s="4"/>
      <c r="C92" s="4"/>
      <c r="D92" s="4"/>
      <c r="E92" s="4"/>
      <c r="F92" s="4"/>
      <c r="G92" s="1" t="str">
        <f t="shared" si="6"/>
        <v/>
      </c>
      <c r="H92" s="1" t="str">
        <f t="shared" si="5"/>
        <v/>
      </c>
    </row>
    <row r="93" spans="1:8" x14ac:dyDescent="0.25">
      <c r="A93" s="3"/>
      <c r="B93" s="4"/>
      <c r="C93" s="4"/>
      <c r="D93" s="4"/>
      <c r="E93" s="4"/>
      <c r="F93" s="4"/>
      <c r="G93" s="1" t="str">
        <f t="shared" si="6"/>
        <v/>
      </c>
      <c r="H93" s="1" t="str">
        <f t="shared" si="5"/>
        <v/>
      </c>
    </row>
    <row r="94" spans="1:8" x14ac:dyDescent="0.25">
      <c r="A94" s="3"/>
      <c r="B94" s="4"/>
      <c r="C94" s="4"/>
      <c r="D94" s="4"/>
      <c r="E94" s="4"/>
      <c r="F94" s="4"/>
      <c r="G94" s="1" t="str">
        <f t="shared" si="6"/>
        <v/>
      </c>
      <c r="H94" s="1" t="str">
        <f t="shared" si="5"/>
        <v/>
      </c>
    </row>
    <row r="95" spans="1:8" x14ac:dyDescent="0.25">
      <c r="A95" s="3"/>
      <c r="B95" s="4"/>
      <c r="C95" s="4"/>
      <c r="D95" s="4"/>
      <c r="E95" s="4"/>
      <c r="F95" s="4"/>
      <c r="G95" s="1" t="str">
        <f t="shared" si="6"/>
        <v/>
      </c>
      <c r="H95" s="1" t="str">
        <f t="shared" si="5"/>
        <v/>
      </c>
    </row>
    <row r="96" spans="1:8" x14ac:dyDescent="0.25">
      <c r="A96" s="3"/>
      <c r="B96" s="4"/>
      <c r="C96" s="4"/>
      <c r="D96" s="4"/>
      <c r="E96" s="4"/>
      <c r="F96" s="4"/>
      <c r="G96" s="1" t="str">
        <f t="shared" si="6"/>
        <v/>
      </c>
      <c r="H96" s="1" t="str">
        <f t="shared" si="5"/>
        <v/>
      </c>
    </row>
    <row r="97" spans="1:8" x14ac:dyDescent="0.25">
      <c r="A97" s="3"/>
      <c r="B97" s="4"/>
      <c r="C97" s="4"/>
      <c r="D97" s="4"/>
      <c r="E97" s="4"/>
      <c r="F97" s="4"/>
      <c r="G97" s="1" t="str">
        <f t="shared" si="6"/>
        <v/>
      </c>
      <c r="H97" s="1" t="str">
        <f t="shared" si="5"/>
        <v/>
      </c>
    </row>
    <row r="98" spans="1:8" x14ac:dyDescent="0.25">
      <c r="A98" s="3"/>
      <c r="B98" s="4"/>
      <c r="C98" s="4"/>
      <c r="D98" s="4"/>
      <c r="E98" s="4"/>
      <c r="F98" s="4"/>
      <c r="G98" s="1" t="str">
        <f t="shared" si="6"/>
        <v/>
      </c>
      <c r="H98" s="1" t="str">
        <f t="shared" si="5"/>
        <v/>
      </c>
    </row>
    <row r="99" spans="1:8" x14ac:dyDescent="0.25">
      <c r="A99" s="3"/>
      <c r="B99" s="4"/>
      <c r="C99" s="4"/>
      <c r="D99" s="4"/>
      <c r="E99" s="4"/>
      <c r="F99" s="4"/>
      <c r="G99" s="1" t="str">
        <f t="shared" si="6"/>
        <v/>
      </c>
      <c r="H99" s="1" t="str">
        <f t="shared" ref="H99:H130" si="7">IFERROR(G99+C99+D99,"")</f>
        <v/>
      </c>
    </row>
    <row r="100" spans="1:8" x14ac:dyDescent="0.25">
      <c r="A100" s="3"/>
      <c r="B100" s="4"/>
      <c r="C100" s="4"/>
      <c r="D100" s="4"/>
      <c r="E100" s="4"/>
      <c r="F100" s="4"/>
      <c r="G100" s="1" t="str">
        <f t="shared" si="6"/>
        <v/>
      </c>
      <c r="H100" s="1" t="str">
        <f t="shared" si="7"/>
        <v/>
      </c>
    </row>
    <row r="101" spans="1:8" x14ac:dyDescent="0.25">
      <c r="A101" s="3"/>
      <c r="B101" s="4"/>
      <c r="C101" s="4"/>
      <c r="D101" s="4"/>
      <c r="E101" s="4"/>
      <c r="F101" s="4"/>
      <c r="G101" s="1" t="str">
        <f t="shared" si="6"/>
        <v/>
      </c>
      <c r="H101" s="1" t="str">
        <f t="shared" si="7"/>
        <v/>
      </c>
    </row>
    <row r="102" spans="1:8" x14ac:dyDescent="0.25">
      <c r="A102" s="3"/>
      <c r="B102" s="4"/>
      <c r="C102" s="4"/>
      <c r="D102" s="4"/>
      <c r="E102" s="4"/>
      <c r="F102" s="4"/>
      <c r="G102" s="1" t="str">
        <f t="shared" si="6"/>
        <v/>
      </c>
      <c r="H102" s="1" t="str">
        <f t="shared" si="7"/>
        <v/>
      </c>
    </row>
    <row r="103" spans="1:8" x14ac:dyDescent="0.25">
      <c r="A103" s="3"/>
      <c r="B103" s="4"/>
      <c r="C103" s="4"/>
      <c r="D103" s="4"/>
      <c r="E103" s="4"/>
      <c r="F103" s="4"/>
      <c r="G103" s="1" t="str">
        <f t="shared" si="6"/>
        <v/>
      </c>
      <c r="H103" s="1" t="str">
        <f t="shared" si="7"/>
        <v/>
      </c>
    </row>
    <row r="104" spans="1:8" x14ac:dyDescent="0.25">
      <c r="A104" s="3"/>
      <c r="B104" s="4"/>
      <c r="C104" s="4"/>
      <c r="D104" s="4"/>
      <c r="E104" s="4"/>
      <c r="F104" s="4"/>
      <c r="G104" s="1" t="str">
        <f t="shared" si="6"/>
        <v/>
      </c>
      <c r="H104" s="1" t="str">
        <f t="shared" si="7"/>
        <v/>
      </c>
    </row>
    <row r="105" spans="1:8" x14ac:dyDescent="0.25">
      <c r="A105" s="3"/>
      <c r="B105" s="4"/>
      <c r="C105" s="4"/>
      <c r="D105" s="4"/>
      <c r="E105" s="4"/>
      <c r="F105" s="4"/>
      <c r="G105" s="1" t="str">
        <f t="shared" si="6"/>
        <v/>
      </c>
      <c r="H105" s="1" t="str">
        <f t="shared" si="7"/>
        <v/>
      </c>
    </row>
    <row r="106" spans="1:8" x14ac:dyDescent="0.25">
      <c r="A106" s="3"/>
      <c r="B106" s="4"/>
      <c r="C106" s="4"/>
      <c r="D106" s="4"/>
      <c r="E106" s="4"/>
      <c r="F106" s="4"/>
      <c r="G106" s="1" t="str">
        <f t="shared" si="6"/>
        <v/>
      </c>
      <c r="H106" s="1" t="str">
        <f t="shared" si="7"/>
        <v/>
      </c>
    </row>
    <row r="107" spans="1:8" x14ac:dyDescent="0.25">
      <c r="A107" s="3"/>
      <c r="B107" s="4"/>
      <c r="C107" s="4"/>
      <c r="D107" s="4"/>
      <c r="E107" s="4"/>
      <c r="F107" s="4"/>
      <c r="G107" s="1" t="str">
        <f t="shared" si="6"/>
        <v/>
      </c>
      <c r="H107" s="1" t="str">
        <f t="shared" si="7"/>
        <v/>
      </c>
    </row>
    <row r="108" spans="1:8" x14ac:dyDescent="0.25">
      <c r="A108" s="3"/>
      <c r="B108" s="4"/>
      <c r="C108" s="4"/>
      <c r="D108" s="4"/>
      <c r="E108" s="4"/>
      <c r="F108" s="4"/>
      <c r="G108" s="1" t="str">
        <f t="shared" si="6"/>
        <v/>
      </c>
      <c r="H108" s="1" t="str">
        <f t="shared" si="7"/>
        <v/>
      </c>
    </row>
    <row r="109" spans="1:8" x14ac:dyDescent="0.25">
      <c r="A109" s="3"/>
      <c r="B109" s="4"/>
      <c r="C109" s="4"/>
      <c r="D109" s="4"/>
      <c r="E109" s="4"/>
      <c r="F109" s="4"/>
      <c r="G109" s="1" t="str">
        <f t="shared" si="6"/>
        <v/>
      </c>
      <c r="H109" s="1" t="str">
        <f t="shared" si="7"/>
        <v/>
      </c>
    </row>
    <row r="110" spans="1:8" x14ac:dyDescent="0.25">
      <c r="A110" s="3"/>
      <c r="B110" s="4"/>
      <c r="C110" s="4"/>
      <c r="D110" s="4"/>
      <c r="E110" s="4"/>
      <c r="F110" s="4"/>
      <c r="G110" s="1" t="str">
        <f t="shared" si="6"/>
        <v/>
      </c>
      <c r="H110" s="1" t="str">
        <f t="shared" si="7"/>
        <v/>
      </c>
    </row>
    <row r="111" spans="1:8" x14ac:dyDescent="0.25">
      <c r="A111" s="3"/>
      <c r="B111" s="4"/>
      <c r="C111" s="4"/>
      <c r="D111" s="4"/>
      <c r="E111" s="4"/>
      <c r="F111" s="4"/>
      <c r="G111" s="1" t="str">
        <f t="shared" si="6"/>
        <v/>
      </c>
      <c r="H111" s="1" t="str">
        <f t="shared" si="7"/>
        <v/>
      </c>
    </row>
    <row r="112" spans="1:8" x14ac:dyDescent="0.25">
      <c r="A112" s="3"/>
      <c r="B112" s="4"/>
      <c r="C112" s="4"/>
      <c r="D112" s="4"/>
      <c r="E112" s="4"/>
      <c r="F112" s="4"/>
      <c r="G112" s="1" t="str">
        <f t="shared" si="6"/>
        <v/>
      </c>
      <c r="H112" s="1" t="str">
        <f t="shared" si="7"/>
        <v/>
      </c>
    </row>
    <row r="113" spans="1:8" x14ac:dyDescent="0.25">
      <c r="A113" s="3"/>
      <c r="B113" s="4"/>
      <c r="C113" s="4"/>
      <c r="D113" s="4"/>
      <c r="E113" s="4"/>
      <c r="F113" s="4"/>
      <c r="G113" s="1" t="str">
        <f t="shared" si="6"/>
        <v/>
      </c>
      <c r="H113" s="1" t="str">
        <f t="shared" si="7"/>
        <v/>
      </c>
    </row>
    <row r="114" spans="1:8" x14ac:dyDescent="0.25">
      <c r="A114" s="3"/>
      <c r="B114" s="4"/>
      <c r="C114" s="4"/>
      <c r="D114" s="4"/>
      <c r="E114" s="4"/>
      <c r="F114" s="4"/>
      <c r="G114" s="1" t="str">
        <f t="shared" si="6"/>
        <v/>
      </c>
      <c r="H114" s="1" t="str">
        <f t="shared" si="7"/>
        <v/>
      </c>
    </row>
    <row r="115" spans="1:8" x14ac:dyDescent="0.25">
      <c r="A115" s="3"/>
      <c r="B115" s="4"/>
      <c r="C115" s="4"/>
      <c r="D115" s="4"/>
      <c r="E115" s="4"/>
      <c r="F115" s="4"/>
      <c r="G115" s="1" t="str">
        <f t="shared" si="6"/>
        <v/>
      </c>
      <c r="H115" s="1" t="str">
        <f t="shared" si="7"/>
        <v/>
      </c>
    </row>
    <row r="116" spans="1:8" x14ac:dyDescent="0.25">
      <c r="A116" s="3"/>
      <c r="B116" s="4"/>
      <c r="C116" s="4"/>
      <c r="D116" s="4"/>
      <c r="E116" s="4"/>
      <c r="F116" s="4"/>
      <c r="G116" s="1" t="str">
        <f t="shared" si="6"/>
        <v/>
      </c>
      <c r="H116" s="1" t="str">
        <f t="shared" si="7"/>
        <v/>
      </c>
    </row>
    <row r="117" spans="1:8" x14ac:dyDescent="0.25">
      <c r="A117" s="3"/>
      <c r="B117" s="4"/>
      <c r="C117" s="4"/>
      <c r="D117" s="4"/>
      <c r="E117" s="4"/>
      <c r="F117" s="4"/>
      <c r="G117" s="1" t="str">
        <f t="shared" si="6"/>
        <v/>
      </c>
      <c r="H117" s="1" t="str">
        <f t="shared" si="7"/>
        <v/>
      </c>
    </row>
    <row r="118" spans="1:8" x14ac:dyDescent="0.25">
      <c r="A118" s="3"/>
      <c r="B118" s="4"/>
      <c r="C118" s="4"/>
      <c r="D118" s="4"/>
      <c r="E118" s="4"/>
      <c r="F118" s="4"/>
      <c r="G118" s="1" t="str">
        <f t="shared" si="6"/>
        <v/>
      </c>
      <c r="H118" s="1" t="str">
        <f t="shared" si="7"/>
        <v/>
      </c>
    </row>
    <row r="119" spans="1:8" x14ac:dyDescent="0.25">
      <c r="A119" s="3"/>
      <c r="B119" s="4"/>
      <c r="C119" s="4"/>
      <c r="D119" s="4"/>
      <c r="E119" s="4"/>
      <c r="F119" s="4"/>
      <c r="G119" s="1" t="str">
        <f t="shared" si="6"/>
        <v/>
      </c>
      <c r="H119" s="1" t="str">
        <f t="shared" si="7"/>
        <v/>
      </c>
    </row>
    <row r="120" spans="1:8" x14ac:dyDescent="0.25">
      <c r="A120" s="3"/>
      <c r="B120" s="4"/>
      <c r="C120" s="4"/>
      <c r="D120" s="4"/>
      <c r="E120" s="4"/>
      <c r="F120" s="4"/>
      <c r="G120" s="1" t="str">
        <f t="shared" ref="G120:G151" si="8">IFERROR(IF(A120&lt;&gt;"",H119,""),"")</f>
        <v/>
      </c>
      <c r="H120" s="1" t="str">
        <f t="shared" si="7"/>
        <v/>
      </c>
    </row>
    <row r="121" spans="1:8" x14ac:dyDescent="0.25">
      <c r="A121" s="3"/>
      <c r="B121" s="4"/>
      <c r="C121" s="4"/>
      <c r="D121" s="4"/>
      <c r="E121" s="4"/>
      <c r="F121" s="4"/>
      <c r="G121" s="1" t="str">
        <f t="shared" si="8"/>
        <v/>
      </c>
      <c r="H121" s="1" t="str">
        <f t="shared" si="7"/>
        <v/>
      </c>
    </row>
    <row r="122" spans="1:8" x14ac:dyDescent="0.25">
      <c r="A122" s="3"/>
      <c r="B122" s="4"/>
      <c r="C122" s="4"/>
      <c r="D122" s="4"/>
      <c r="E122" s="4"/>
      <c r="F122" s="4"/>
      <c r="G122" s="1" t="str">
        <f t="shared" si="8"/>
        <v/>
      </c>
      <c r="H122" s="1" t="str">
        <f t="shared" si="7"/>
        <v/>
      </c>
    </row>
    <row r="123" spans="1:8" x14ac:dyDescent="0.25">
      <c r="A123" s="3"/>
      <c r="B123" s="4"/>
      <c r="C123" s="4"/>
      <c r="D123" s="4"/>
      <c r="E123" s="4"/>
      <c r="F123" s="4"/>
      <c r="G123" s="1" t="str">
        <f t="shared" si="8"/>
        <v/>
      </c>
      <c r="H123" s="1" t="str">
        <f t="shared" si="7"/>
        <v/>
      </c>
    </row>
    <row r="124" spans="1:8" x14ac:dyDescent="0.25">
      <c r="A124" s="3"/>
      <c r="B124" s="4"/>
      <c r="C124" s="4"/>
      <c r="D124" s="4"/>
      <c r="E124" s="4"/>
      <c r="F124" s="4"/>
      <c r="G124" s="1" t="str">
        <f t="shared" si="8"/>
        <v/>
      </c>
      <c r="H124" s="1" t="str">
        <f t="shared" si="7"/>
        <v/>
      </c>
    </row>
    <row r="125" spans="1:8" x14ac:dyDescent="0.25">
      <c r="A125" s="3"/>
      <c r="B125" s="4"/>
      <c r="C125" s="4"/>
      <c r="D125" s="4"/>
      <c r="E125" s="4"/>
      <c r="F125" s="4"/>
      <c r="G125" s="1" t="str">
        <f t="shared" si="8"/>
        <v/>
      </c>
      <c r="H125" s="1" t="str">
        <f t="shared" si="7"/>
        <v/>
      </c>
    </row>
    <row r="126" spans="1:8" x14ac:dyDescent="0.25">
      <c r="A126" s="3"/>
      <c r="B126" s="4"/>
      <c r="C126" s="4"/>
      <c r="D126" s="4"/>
      <c r="E126" s="4"/>
      <c r="F126" s="4"/>
      <c r="G126" s="1" t="str">
        <f t="shared" si="8"/>
        <v/>
      </c>
      <c r="H126" s="1" t="str">
        <f t="shared" si="7"/>
        <v/>
      </c>
    </row>
    <row r="127" spans="1:8" x14ac:dyDescent="0.25">
      <c r="A127" s="3"/>
      <c r="B127" s="4"/>
      <c r="C127" s="4"/>
      <c r="D127" s="4"/>
      <c r="E127" s="4"/>
      <c r="F127" s="4"/>
      <c r="G127" s="1" t="str">
        <f t="shared" si="8"/>
        <v/>
      </c>
      <c r="H127" s="1" t="str">
        <f t="shared" si="7"/>
        <v/>
      </c>
    </row>
    <row r="128" spans="1:8" x14ac:dyDescent="0.25">
      <c r="A128" s="3"/>
      <c r="B128" s="4"/>
      <c r="C128" s="4"/>
      <c r="D128" s="4"/>
      <c r="E128" s="4"/>
      <c r="F128" s="4"/>
      <c r="G128" s="1" t="str">
        <f t="shared" si="8"/>
        <v/>
      </c>
      <c r="H128" s="1" t="str">
        <f t="shared" si="7"/>
        <v/>
      </c>
    </row>
    <row r="129" spans="1:8" x14ac:dyDescent="0.25">
      <c r="A129" s="3"/>
      <c r="B129" s="4"/>
      <c r="C129" s="4"/>
      <c r="D129" s="4"/>
      <c r="E129" s="4"/>
      <c r="F129" s="4"/>
      <c r="G129" s="1" t="str">
        <f t="shared" si="8"/>
        <v/>
      </c>
      <c r="H129" s="1" t="str">
        <f t="shared" si="7"/>
        <v/>
      </c>
    </row>
    <row r="130" spans="1:8" x14ac:dyDescent="0.25">
      <c r="A130" s="3"/>
      <c r="B130" s="4"/>
      <c r="C130" s="4"/>
      <c r="D130" s="4"/>
      <c r="E130" s="4"/>
      <c r="F130" s="4"/>
      <c r="G130" s="1" t="str">
        <f t="shared" si="8"/>
        <v/>
      </c>
      <c r="H130" s="1" t="str">
        <f t="shared" si="7"/>
        <v/>
      </c>
    </row>
    <row r="131" spans="1:8" x14ac:dyDescent="0.25">
      <c r="A131" s="3"/>
      <c r="B131" s="4"/>
      <c r="C131" s="4"/>
      <c r="D131" s="4"/>
      <c r="E131" s="4"/>
      <c r="F131" s="4"/>
      <c r="G131" s="1" t="str">
        <f t="shared" si="8"/>
        <v/>
      </c>
      <c r="H131" s="1" t="str">
        <f t="shared" ref="H131:H162" si="9">IFERROR(G131+C131+D131,"")</f>
        <v/>
      </c>
    </row>
    <row r="132" spans="1:8" x14ac:dyDescent="0.25">
      <c r="A132" s="3"/>
      <c r="B132" s="4"/>
      <c r="C132" s="4"/>
      <c r="D132" s="4"/>
      <c r="E132" s="4"/>
      <c r="F132" s="4"/>
      <c r="G132" s="1" t="str">
        <f t="shared" si="8"/>
        <v/>
      </c>
      <c r="H132" s="1" t="str">
        <f t="shared" si="9"/>
        <v/>
      </c>
    </row>
    <row r="133" spans="1:8" x14ac:dyDescent="0.25">
      <c r="A133" s="3"/>
      <c r="B133" s="4"/>
      <c r="C133" s="4"/>
      <c r="D133" s="4"/>
      <c r="E133" s="4"/>
      <c r="F133" s="4"/>
      <c r="G133" s="1" t="str">
        <f t="shared" si="8"/>
        <v/>
      </c>
      <c r="H133" s="1" t="str">
        <f t="shared" si="9"/>
        <v/>
      </c>
    </row>
    <row r="134" spans="1:8" x14ac:dyDescent="0.25">
      <c r="A134" s="3"/>
      <c r="B134" s="4"/>
      <c r="C134" s="4"/>
      <c r="D134" s="4"/>
      <c r="E134" s="4"/>
      <c r="F134" s="4"/>
      <c r="G134" s="1" t="str">
        <f t="shared" si="8"/>
        <v/>
      </c>
      <c r="H134" s="1" t="str">
        <f t="shared" si="9"/>
        <v/>
      </c>
    </row>
    <row r="135" spans="1:8" x14ac:dyDescent="0.25">
      <c r="A135" s="3"/>
      <c r="B135" s="4"/>
      <c r="C135" s="4"/>
      <c r="D135" s="4"/>
      <c r="E135" s="4"/>
      <c r="F135" s="4"/>
      <c r="G135" s="1" t="str">
        <f t="shared" si="8"/>
        <v/>
      </c>
      <c r="H135" s="1" t="str">
        <f t="shared" si="9"/>
        <v/>
      </c>
    </row>
    <row r="136" spans="1:8" x14ac:dyDescent="0.25">
      <c r="A136" s="3"/>
      <c r="B136" s="4"/>
      <c r="C136" s="4"/>
      <c r="D136" s="4"/>
      <c r="E136" s="4"/>
      <c r="F136" s="4"/>
      <c r="G136" s="1" t="str">
        <f t="shared" si="8"/>
        <v/>
      </c>
      <c r="H136" s="1" t="str">
        <f t="shared" si="9"/>
        <v/>
      </c>
    </row>
    <row r="137" spans="1:8" x14ac:dyDescent="0.25">
      <c r="A137" s="3"/>
      <c r="B137" s="4"/>
      <c r="C137" s="4"/>
      <c r="D137" s="4"/>
      <c r="E137" s="4"/>
      <c r="F137" s="4"/>
      <c r="G137" s="1" t="str">
        <f t="shared" si="8"/>
        <v/>
      </c>
      <c r="H137" s="1" t="str">
        <f t="shared" si="9"/>
        <v/>
      </c>
    </row>
    <row r="138" spans="1:8" x14ac:dyDescent="0.25">
      <c r="A138" s="3"/>
      <c r="B138" s="4"/>
      <c r="C138" s="4"/>
      <c r="D138" s="4"/>
      <c r="E138" s="4"/>
      <c r="F138" s="4"/>
      <c r="G138" s="1" t="str">
        <f t="shared" si="8"/>
        <v/>
      </c>
      <c r="H138" s="1" t="str">
        <f t="shared" si="9"/>
        <v/>
      </c>
    </row>
    <row r="139" spans="1:8" x14ac:dyDescent="0.25">
      <c r="A139" s="3"/>
      <c r="B139" s="4"/>
      <c r="C139" s="4"/>
      <c r="D139" s="4"/>
      <c r="E139" s="4"/>
      <c r="F139" s="4"/>
      <c r="G139" s="1" t="str">
        <f t="shared" si="8"/>
        <v/>
      </c>
      <c r="H139" s="1" t="str">
        <f t="shared" si="9"/>
        <v/>
      </c>
    </row>
    <row r="140" spans="1:8" x14ac:dyDescent="0.25">
      <c r="A140" s="3"/>
      <c r="B140" s="4"/>
      <c r="C140" s="4"/>
      <c r="D140" s="4"/>
      <c r="E140" s="4"/>
      <c r="F140" s="4"/>
      <c r="G140" s="1" t="str">
        <f t="shared" si="8"/>
        <v/>
      </c>
      <c r="H140" s="1" t="str">
        <f t="shared" si="9"/>
        <v/>
      </c>
    </row>
    <row r="141" spans="1:8" x14ac:dyDescent="0.25">
      <c r="A141" s="3"/>
      <c r="B141" s="4"/>
      <c r="C141" s="4"/>
      <c r="D141" s="4"/>
      <c r="E141" s="4"/>
      <c r="F141" s="4"/>
      <c r="G141" s="1" t="str">
        <f t="shared" si="8"/>
        <v/>
      </c>
      <c r="H141" s="1" t="str">
        <f t="shared" si="9"/>
        <v/>
      </c>
    </row>
    <row r="142" spans="1:8" x14ac:dyDescent="0.25">
      <c r="A142" s="3"/>
      <c r="B142" s="4"/>
      <c r="C142" s="4"/>
      <c r="D142" s="4"/>
      <c r="E142" s="4"/>
      <c r="F142" s="4"/>
      <c r="G142" s="1" t="str">
        <f t="shared" si="8"/>
        <v/>
      </c>
      <c r="H142" s="1" t="str">
        <f t="shared" si="9"/>
        <v/>
      </c>
    </row>
    <row r="143" spans="1:8" x14ac:dyDescent="0.25">
      <c r="A143" s="3"/>
      <c r="B143" s="4"/>
      <c r="C143" s="4"/>
      <c r="D143" s="4"/>
      <c r="E143" s="4"/>
      <c r="F143" s="4"/>
      <c r="G143" s="1" t="str">
        <f t="shared" si="8"/>
        <v/>
      </c>
      <c r="H143" s="1" t="str">
        <f t="shared" si="9"/>
        <v/>
      </c>
    </row>
    <row r="144" spans="1:8" x14ac:dyDescent="0.25">
      <c r="A144" s="3"/>
      <c r="B144" s="4"/>
      <c r="C144" s="4"/>
      <c r="D144" s="4"/>
      <c r="E144" s="4"/>
      <c r="F144" s="4"/>
      <c r="G144" s="1" t="str">
        <f t="shared" si="8"/>
        <v/>
      </c>
      <c r="H144" s="1" t="str">
        <f t="shared" si="9"/>
        <v/>
      </c>
    </row>
    <row r="145" spans="1:8" x14ac:dyDescent="0.25">
      <c r="A145" s="3"/>
      <c r="B145" s="4"/>
      <c r="C145" s="4"/>
      <c r="D145" s="4"/>
      <c r="E145" s="4"/>
      <c r="F145" s="4"/>
      <c r="G145" s="1" t="str">
        <f t="shared" si="8"/>
        <v/>
      </c>
      <c r="H145" s="1" t="str">
        <f t="shared" si="9"/>
        <v/>
      </c>
    </row>
    <row r="146" spans="1:8" x14ac:dyDescent="0.25">
      <c r="A146" s="3"/>
      <c r="B146" s="4"/>
      <c r="C146" s="4"/>
      <c r="D146" s="4"/>
      <c r="E146" s="4"/>
      <c r="F146" s="4"/>
      <c r="G146" s="1" t="str">
        <f t="shared" si="8"/>
        <v/>
      </c>
      <c r="H146" s="1" t="str">
        <f t="shared" si="9"/>
        <v/>
      </c>
    </row>
    <row r="147" spans="1:8" x14ac:dyDescent="0.25">
      <c r="A147" s="3"/>
      <c r="B147" s="4"/>
      <c r="C147" s="4"/>
      <c r="D147" s="4"/>
      <c r="E147" s="4"/>
      <c r="F147" s="4"/>
      <c r="G147" s="1" t="str">
        <f t="shared" si="8"/>
        <v/>
      </c>
      <c r="H147" s="1" t="str">
        <f t="shared" si="9"/>
        <v/>
      </c>
    </row>
    <row r="148" spans="1:8" x14ac:dyDescent="0.25">
      <c r="A148" s="3"/>
      <c r="B148" s="4"/>
      <c r="C148" s="4"/>
      <c r="D148" s="4"/>
      <c r="E148" s="4"/>
      <c r="F148" s="4"/>
      <c r="G148" s="1" t="str">
        <f t="shared" si="8"/>
        <v/>
      </c>
      <c r="H148" s="1" t="str">
        <f t="shared" si="9"/>
        <v/>
      </c>
    </row>
    <row r="149" spans="1:8" x14ac:dyDescent="0.25">
      <c r="A149" s="3"/>
      <c r="B149" s="4"/>
      <c r="C149" s="4"/>
      <c r="D149" s="4"/>
      <c r="E149" s="4"/>
      <c r="F149" s="4"/>
      <c r="G149" s="1" t="str">
        <f t="shared" si="8"/>
        <v/>
      </c>
      <c r="H149" s="1" t="str">
        <f t="shared" si="9"/>
        <v/>
      </c>
    </row>
    <row r="150" spans="1:8" x14ac:dyDescent="0.25">
      <c r="A150" s="3"/>
      <c r="B150" s="4"/>
      <c r="C150" s="4"/>
      <c r="D150" s="4"/>
      <c r="E150" s="4"/>
      <c r="F150" s="4"/>
      <c r="G150" s="1" t="str">
        <f t="shared" si="8"/>
        <v/>
      </c>
      <c r="H150" s="1" t="str">
        <f t="shared" si="9"/>
        <v/>
      </c>
    </row>
    <row r="151" spans="1:8" x14ac:dyDescent="0.25">
      <c r="A151" s="3"/>
      <c r="B151" s="4"/>
      <c r="C151" s="4"/>
      <c r="D151" s="4"/>
      <c r="E151" s="4"/>
      <c r="F151" s="4"/>
      <c r="G151" s="1" t="str">
        <f t="shared" si="8"/>
        <v/>
      </c>
      <c r="H151" s="1" t="str">
        <f t="shared" si="9"/>
        <v/>
      </c>
    </row>
    <row r="152" spans="1:8" x14ac:dyDescent="0.25">
      <c r="A152" s="3"/>
      <c r="B152" s="4"/>
      <c r="C152" s="4"/>
      <c r="D152" s="4"/>
      <c r="E152" s="4"/>
      <c r="F152" s="4"/>
      <c r="G152" s="1" t="str">
        <f t="shared" ref="G152:G183" si="10">IFERROR(IF(A152&lt;&gt;"",H151,""),"")</f>
        <v/>
      </c>
      <c r="H152" s="1" t="str">
        <f t="shared" si="9"/>
        <v/>
      </c>
    </row>
    <row r="153" spans="1:8" x14ac:dyDescent="0.25">
      <c r="A153" s="3"/>
      <c r="B153" s="4"/>
      <c r="C153" s="4"/>
      <c r="D153" s="4"/>
      <c r="E153" s="4"/>
      <c r="F153" s="4"/>
      <c r="G153" s="1" t="str">
        <f t="shared" si="10"/>
        <v/>
      </c>
      <c r="H153" s="1" t="str">
        <f t="shared" si="9"/>
        <v/>
      </c>
    </row>
    <row r="154" spans="1:8" x14ac:dyDescent="0.25">
      <c r="A154" s="3"/>
      <c r="B154" s="4"/>
      <c r="C154" s="4"/>
      <c r="D154" s="4"/>
      <c r="E154" s="4"/>
      <c r="F154" s="4"/>
      <c r="G154" s="1" t="str">
        <f t="shared" si="10"/>
        <v/>
      </c>
      <c r="H154" s="1" t="str">
        <f t="shared" si="9"/>
        <v/>
      </c>
    </row>
    <row r="155" spans="1:8" x14ac:dyDescent="0.25">
      <c r="A155" s="3"/>
      <c r="B155" s="4"/>
      <c r="C155" s="4"/>
      <c r="D155" s="4"/>
      <c r="E155" s="4"/>
      <c r="F155" s="4"/>
      <c r="G155" s="1" t="str">
        <f t="shared" si="10"/>
        <v/>
      </c>
      <c r="H155" s="1" t="str">
        <f t="shared" si="9"/>
        <v/>
      </c>
    </row>
    <row r="156" spans="1:8" x14ac:dyDescent="0.25">
      <c r="A156" s="3"/>
      <c r="B156" s="4"/>
      <c r="C156" s="4"/>
      <c r="D156" s="4"/>
      <c r="E156" s="4"/>
      <c r="F156" s="4"/>
      <c r="G156" s="1" t="str">
        <f t="shared" si="10"/>
        <v/>
      </c>
      <c r="H156" s="1" t="str">
        <f t="shared" si="9"/>
        <v/>
      </c>
    </row>
    <row r="157" spans="1:8" x14ac:dyDescent="0.25">
      <c r="A157" s="3"/>
      <c r="B157" s="4"/>
      <c r="C157" s="4"/>
      <c r="D157" s="4"/>
      <c r="E157" s="4"/>
      <c r="F157" s="4"/>
      <c r="G157" s="1" t="str">
        <f t="shared" si="10"/>
        <v/>
      </c>
      <c r="H157" s="1" t="str">
        <f t="shared" si="9"/>
        <v/>
      </c>
    </row>
    <row r="158" spans="1:8" x14ac:dyDescent="0.25">
      <c r="A158" s="3"/>
      <c r="B158" s="4"/>
      <c r="C158" s="4"/>
      <c r="D158" s="4"/>
      <c r="E158" s="4"/>
      <c r="F158" s="4"/>
      <c r="G158" s="1" t="str">
        <f t="shared" si="10"/>
        <v/>
      </c>
      <c r="H158" s="1" t="str">
        <f t="shared" si="9"/>
        <v/>
      </c>
    </row>
    <row r="159" spans="1:8" x14ac:dyDescent="0.25">
      <c r="A159" s="3"/>
      <c r="B159" s="4"/>
      <c r="C159" s="4"/>
      <c r="D159" s="4"/>
      <c r="E159" s="4"/>
      <c r="F159" s="4"/>
      <c r="G159" s="1" t="str">
        <f t="shared" si="10"/>
        <v/>
      </c>
      <c r="H159" s="1" t="str">
        <f t="shared" si="9"/>
        <v/>
      </c>
    </row>
    <row r="160" spans="1:8" x14ac:dyDescent="0.25">
      <c r="A160" s="3"/>
      <c r="B160" s="4"/>
      <c r="C160" s="4"/>
      <c r="D160" s="4"/>
      <c r="E160" s="4"/>
      <c r="F160" s="4"/>
      <c r="G160" s="1" t="str">
        <f t="shared" si="10"/>
        <v/>
      </c>
      <c r="H160" s="1" t="str">
        <f t="shared" si="9"/>
        <v/>
      </c>
    </row>
    <row r="161" spans="1:8" x14ac:dyDescent="0.25">
      <c r="A161" s="3"/>
      <c r="B161" s="4"/>
      <c r="C161" s="4"/>
      <c r="D161" s="4"/>
      <c r="E161" s="4"/>
      <c r="F161" s="4"/>
      <c r="G161" s="1" t="str">
        <f t="shared" si="10"/>
        <v/>
      </c>
      <c r="H161" s="1" t="str">
        <f t="shared" si="9"/>
        <v/>
      </c>
    </row>
    <row r="162" spans="1:8" x14ac:dyDescent="0.25">
      <c r="A162" s="3"/>
      <c r="B162" s="4"/>
      <c r="C162" s="4"/>
      <c r="D162" s="4"/>
      <c r="E162" s="4"/>
      <c r="F162" s="4"/>
      <c r="G162" s="1" t="str">
        <f t="shared" si="10"/>
        <v/>
      </c>
      <c r="H162" s="1" t="str">
        <f t="shared" si="9"/>
        <v/>
      </c>
    </row>
    <row r="163" spans="1:8" x14ac:dyDescent="0.25">
      <c r="A163" s="3"/>
      <c r="B163" s="4"/>
      <c r="C163" s="4"/>
      <c r="D163" s="4"/>
      <c r="E163" s="4"/>
      <c r="F163" s="4"/>
      <c r="G163" s="1" t="str">
        <f t="shared" si="10"/>
        <v/>
      </c>
      <c r="H163" s="1" t="str">
        <f t="shared" ref="H163:H194" si="11">IFERROR(G163+C163+D163,"")</f>
        <v/>
      </c>
    </row>
    <row r="164" spans="1:8" x14ac:dyDescent="0.25">
      <c r="A164" s="3"/>
      <c r="B164" s="4"/>
      <c r="C164" s="4"/>
      <c r="D164" s="4"/>
      <c r="E164" s="4"/>
      <c r="F164" s="4"/>
      <c r="G164" s="1" t="str">
        <f t="shared" si="10"/>
        <v/>
      </c>
      <c r="H164" s="1" t="str">
        <f t="shared" si="11"/>
        <v/>
      </c>
    </row>
    <row r="165" spans="1:8" x14ac:dyDescent="0.25">
      <c r="A165" s="3"/>
      <c r="B165" s="4"/>
      <c r="C165" s="4"/>
      <c r="D165" s="4"/>
      <c r="E165" s="4"/>
      <c r="F165" s="4"/>
      <c r="G165" s="1" t="str">
        <f t="shared" si="10"/>
        <v/>
      </c>
      <c r="H165" s="1" t="str">
        <f t="shared" si="11"/>
        <v/>
      </c>
    </row>
    <row r="166" spans="1:8" x14ac:dyDescent="0.25">
      <c r="A166" s="3"/>
      <c r="B166" s="4"/>
      <c r="C166" s="4"/>
      <c r="D166" s="4"/>
      <c r="E166" s="4"/>
      <c r="F166" s="4"/>
      <c r="G166" s="1" t="str">
        <f t="shared" si="10"/>
        <v/>
      </c>
      <c r="H166" s="1" t="str">
        <f t="shared" si="11"/>
        <v/>
      </c>
    </row>
    <row r="167" spans="1:8" x14ac:dyDescent="0.25">
      <c r="A167" s="3"/>
      <c r="B167" s="4"/>
      <c r="C167" s="4"/>
      <c r="D167" s="4"/>
      <c r="E167" s="4"/>
      <c r="F167" s="4"/>
      <c r="G167" s="1" t="str">
        <f t="shared" si="10"/>
        <v/>
      </c>
      <c r="H167" s="1" t="str">
        <f t="shared" si="11"/>
        <v/>
      </c>
    </row>
    <row r="168" spans="1:8" x14ac:dyDescent="0.25">
      <c r="A168" s="3"/>
      <c r="B168" s="4"/>
      <c r="C168" s="4"/>
      <c r="D168" s="4"/>
      <c r="E168" s="4"/>
      <c r="F168" s="4"/>
      <c r="G168" s="1" t="str">
        <f t="shared" si="10"/>
        <v/>
      </c>
      <c r="H168" s="1" t="str">
        <f t="shared" si="11"/>
        <v/>
      </c>
    </row>
    <row r="169" spans="1:8" x14ac:dyDescent="0.25">
      <c r="A169" s="3"/>
      <c r="B169" s="4"/>
      <c r="C169" s="4"/>
      <c r="D169" s="4"/>
      <c r="E169" s="4"/>
      <c r="F169" s="4"/>
      <c r="G169" s="1" t="str">
        <f t="shared" si="10"/>
        <v/>
      </c>
      <c r="H169" s="1" t="str">
        <f t="shared" si="11"/>
        <v/>
      </c>
    </row>
    <row r="170" spans="1:8" x14ac:dyDescent="0.25">
      <c r="A170" s="3"/>
      <c r="B170" s="4"/>
      <c r="C170" s="4"/>
      <c r="D170" s="4"/>
      <c r="E170" s="4"/>
      <c r="F170" s="4"/>
      <c r="G170" s="1" t="str">
        <f t="shared" si="10"/>
        <v/>
      </c>
      <c r="H170" s="1" t="str">
        <f t="shared" si="11"/>
        <v/>
      </c>
    </row>
    <row r="171" spans="1:8" x14ac:dyDescent="0.25">
      <c r="A171" s="3"/>
      <c r="B171" s="4"/>
      <c r="C171" s="4"/>
      <c r="D171" s="4"/>
      <c r="E171" s="4"/>
      <c r="F171" s="4"/>
      <c r="G171" s="1" t="str">
        <f t="shared" si="10"/>
        <v/>
      </c>
      <c r="H171" s="1" t="str">
        <f t="shared" si="11"/>
        <v/>
      </c>
    </row>
    <row r="172" spans="1:8" x14ac:dyDescent="0.25">
      <c r="A172" s="3"/>
      <c r="B172" s="4"/>
      <c r="C172" s="4"/>
      <c r="D172" s="4"/>
      <c r="E172" s="4"/>
      <c r="F172" s="4"/>
      <c r="G172" s="1" t="str">
        <f t="shared" si="10"/>
        <v/>
      </c>
      <c r="H172" s="1" t="str">
        <f t="shared" si="11"/>
        <v/>
      </c>
    </row>
    <row r="173" spans="1:8" x14ac:dyDescent="0.25">
      <c r="A173" s="3"/>
      <c r="B173" s="4"/>
      <c r="C173" s="4"/>
      <c r="D173" s="4"/>
      <c r="E173" s="4"/>
      <c r="F173" s="4"/>
      <c r="G173" s="1" t="str">
        <f t="shared" si="10"/>
        <v/>
      </c>
      <c r="H173" s="1" t="str">
        <f t="shared" si="11"/>
        <v/>
      </c>
    </row>
    <row r="174" spans="1:8" x14ac:dyDescent="0.25">
      <c r="A174" s="3"/>
      <c r="B174" s="4"/>
      <c r="C174" s="4"/>
      <c r="D174" s="4"/>
      <c r="E174" s="4"/>
      <c r="F174" s="4"/>
      <c r="G174" s="1" t="str">
        <f t="shared" si="10"/>
        <v/>
      </c>
      <c r="H174" s="1" t="str">
        <f t="shared" si="11"/>
        <v/>
      </c>
    </row>
    <row r="175" spans="1:8" x14ac:dyDescent="0.25">
      <c r="A175" s="3"/>
      <c r="B175" s="4"/>
      <c r="C175" s="4"/>
      <c r="D175" s="4"/>
      <c r="E175" s="4"/>
      <c r="F175" s="4"/>
      <c r="G175" s="1" t="str">
        <f t="shared" si="10"/>
        <v/>
      </c>
      <c r="H175" s="1" t="str">
        <f t="shared" si="11"/>
        <v/>
      </c>
    </row>
    <row r="176" spans="1:8" x14ac:dyDescent="0.25">
      <c r="A176" s="3"/>
      <c r="B176" s="4"/>
      <c r="C176" s="4"/>
      <c r="D176" s="4"/>
      <c r="E176" s="4"/>
      <c r="F176" s="4"/>
      <c r="G176" s="1" t="str">
        <f t="shared" si="10"/>
        <v/>
      </c>
      <c r="H176" s="1" t="str">
        <f t="shared" si="11"/>
        <v/>
      </c>
    </row>
    <row r="177" spans="1:8" x14ac:dyDescent="0.25">
      <c r="A177" s="3"/>
      <c r="B177" s="4"/>
      <c r="C177" s="4"/>
      <c r="D177" s="4"/>
      <c r="E177" s="4"/>
      <c r="F177" s="4"/>
      <c r="G177" s="1" t="str">
        <f t="shared" si="10"/>
        <v/>
      </c>
      <c r="H177" s="1" t="str">
        <f t="shared" si="11"/>
        <v/>
      </c>
    </row>
    <row r="178" spans="1:8" x14ac:dyDescent="0.25">
      <c r="A178" s="3"/>
      <c r="B178" s="4"/>
      <c r="C178" s="4"/>
      <c r="D178" s="4"/>
      <c r="E178" s="4"/>
      <c r="F178" s="4"/>
      <c r="G178" s="1" t="str">
        <f t="shared" si="10"/>
        <v/>
      </c>
      <c r="H178" s="1" t="str">
        <f t="shared" si="11"/>
        <v/>
      </c>
    </row>
    <row r="179" spans="1:8" x14ac:dyDescent="0.25">
      <c r="A179" s="3"/>
      <c r="B179" s="4"/>
      <c r="C179" s="4"/>
      <c r="D179" s="4"/>
      <c r="E179" s="4"/>
      <c r="F179" s="4"/>
      <c r="G179" s="1" t="str">
        <f t="shared" si="10"/>
        <v/>
      </c>
      <c r="H179" s="1" t="str">
        <f t="shared" si="11"/>
        <v/>
      </c>
    </row>
    <row r="180" spans="1:8" x14ac:dyDescent="0.25">
      <c r="A180" s="3"/>
      <c r="B180" s="4"/>
      <c r="C180" s="4"/>
      <c r="D180" s="4"/>
      <c r="E180" s="4"/>
      <c r="F180" s="4"/>
      <c r="G180" s="1" t="str">
        <f t="shared" si="10"/>
        <v/>
      </c>
      <c r="H180" s="1" t="str">
        <f t="shared" si="11"/>
        <v/>
      </c>
    </row>
    <row r="181" spans="1:8" x14ac:dyDescent="0.25">
      <c r="A181" s="3"/>
      <c r="B181" s="4"/>
      <c r="C181" s="4"/>
      <c r="D181" s="4"/>
      <c r="E181" s="4"/>
      <c r="F181" s="4"/>
      <c r="G181" s="1" t="str">
        <f t="shared" si="10"/>
        <v/>
      </c>
      <c r="H181" s="1" t="str">
        <f t="shared" si="11"/>
        <v/>
      </c>
    </row>
    <row r="182" spans="1:8" x14ac:dyDescent="0.25">
      <c r="A182" s="3"/>
      <c r="B182" s="4"/>
      <c r="C182" s="4"/>
      <c r="D182" s="4"/>
      <c r="E182" s="4"/>
      <c r="F182" s="4"/>
      <c r="G182" s="1" t="str">
        <f t="shared" si="10"/>
        <v/>
      </c>
      <c r="H182" s="1" t="str">
        <f t="shared" si="11"/>
        <v/>
      </c>
    </row>
    <row r="183" spans="1:8" x14ac:dyDescent="0.25">
      <c r="A183" s="3"/>
      <c r="B183" s="4"/>
      <c r="C183" s="4"/>
      <c r="D183" s="4"/>
      <c r="E183" s="4"/>
      <c r="F183" s="4"/>
      <c r="G183" s="1" t="str">
        <f t="shared" si="10"/>
        <v/>
      </c>
      <c r="H183" s="1" t="str">
        <f t="shared" si="11"/>
        <v/>
      </c>
    </row>
    <row r="184" spans="1:8" x14ac:dyDescent="0.25">
      <c r="A184" s="3"/>
      <c r="B184" s="4"/>
      <c r="C184" s="4"/>
      <c r="D184" s="4"/>
      <c r="E184" s="4"/>
      <c r="F184" s="4"/>
      <c r="G184" s="1" t="str">
        <f t="shared" ref="G184:G200" si="12">IFERROR(IF(A184&lt;&gt;"",H183,""),"")</f>
        <v/>
      </c>
      <c r="H184" s="1" t="str">
        <f t="shared" si="11"/>
        <v/>
      </c>
    </row>
    <row r="185" spans="1:8" x14ac:dyDescent="0.25">
      <c r="A185" s="3"/>
      <c r="B185" s="4"/>
      <c r="C185" s="4"/>
      <c r="D185" s="4"/>
      <c r="E185" s="4"/>
      <c r="F185" s="4"/>
      <c r="G185" s="1" t="str">
        <f t="shared" si="12"/>
        <v/>
      </c>
      <c r="H185" s="1" t="str">
        <f t="shared" si="11"/>
        <v/>
      </c>
    </row>
    <row r="186" spans="1:8" x14ac:dyDescent="0.25">
      <c r="A186" s="3"/>
      <c r="B186" s="4"/>
      <c r="C186" s="4"/>
      <c r="D186" s="4"/>
      <c r="E186" s="4"/>
      <c r="F186" s="4"/>
      <c r="G186" s="1" t="str">
        <f t="shared" si="12"/>
        <v/>
      </c>
      <c r="H186" s="1" t="str">
        <f t="shared" si="11"/>
        <v/>
      </c>
    </row>
    <row r="187" spans="1:8" x14ac:dyDescent="0.25">
      <c r="A187" s="3"/>
      <c r="B187" s="4"/>
      <c r="C187" s="4"/>
      <c r="D187" s="4"/>
      <c r="E187" s="4"/>
      <c r="F187" s="4"/>
      <c r="G187" s="1" t="str">
        <f t="shared" si="12"/>
        <v/>
      </c>
      <c r="H187" s="1" t="str">
        <f t="shared" si="11"/>
        <v/>
      </c>
    </row>
    <row r="188" spans="1:8" x14ac:dyDescent="0.25">
      <c r="A188" s="3"/>
      <c r="B188" s="4"/>
      <c r="C188" s="4"/>
      <c r="D188" s="4"/>
      <c r="E188" s="4"/>
      <c r="F188" s="4"/>
      <c r="G188" s="1" t="str">
        <f t="shared" si="12"/>
        <v/>
      </c>
      <c r="H188" s="1" t="str">
        <f t="shared" si="11"/>
        <v/>
      </c>
    </row>
    <row r="189" spans="1:8" x14ac:dyDescent="0.25">
      <c r="A189" s="3"/>
      <c r="B189" s="4"/>
      <c r="C189" s="4"/>
      <c r="D189" s="4"/>
      <c r="E189" s="4"/>
      <c r="F189" s="4"/>
      <c r="G189" s="1" t="str">
        <f t="shared" si="12"/>
        <v/>
      </c>
      <c r="H189" s="1" t="str">
        <f t="shared" si="11"/>
        <v/>
      </c>
    </row>
    <row r="190" spans="1:8" x14ac:dyDescent="0.25">
      <c r="A190" s="3"/>
      <c r="B190" s="4"/>
      <c r="C190" s="4"/>
      <c r="D190" s="4"/>
      <c r="E190" s="4"/>
      <c r="F190" s="4"/>
      <c r="G190" s="1" t="str">
        <f t="shared" si="12"/>
        <v/>
      </c>
      <c r="H190" s="1" t="str">
        <f t="shared" si="11"/>
        <v/>
      </c>
    </row>
    <row r="191" spans="1:8" x14ac:dyDescent="0.25">
      <c r="A191" s="3"/>
      <c r="B191" s="4"/>
      <c r="C191" s="4"/>
      <c r="D191" s="4"/>
      <c r="E191" s="4"/>
      <c r="F191" s="4"/>
      <c r="G191" s="1" t="str">
        <f t="shared" si="12"/>
        <v/>
      </c>
      <c r="H191" s="1" t="str">
        <f t="shared" si="11"/>
        <v/>
      </c>
    </row>
    <row r="192" spans="1:8" x14ac:dyDescent="0.25">
      <c r="A192" s="3"/>
      <c r="B192" s="4"/>
      <c r="C192" s="4"/>
      <c r="D192" s="4"/>
      <c r="E192" s="4"/>
      <c r="F192" s="4"/>
      <c r="G192" s="1" t="str">
        <f t="shared" si="12"/>
        <v/>
      </c>
      <c r="H192" s="1" t="str">
        <f t="shared" si="11"/>
        <v/>
      </c>
    </row>
    <row r="193" spans="1:8" x14ac:dyDescent="0.25">
      <c r="A193" s="3"/>
      <c r="B193" s="4"/>
      <c r="C193" s="4"/>
      <c r="D193" s="4"/>
      <c r="E193" s="4"/>
      <c r="F193" s="4"/>
      <c r="G193" s="1" t="str">
        <f t="shared" si="12"/>
        <v/>
      </c>
      <c r="H193" s="1" t="str">
        <f t="shared" si="11"/>
        <v/>
      </c>
    </row>
    <row r="194" spans="1:8" x14ac:dyDescent="0.25">
      <c r="A194" s="3"/>
      <c r="B194" s="4"/>
      <c r="C194" s="4"/>
      <c r="D194" s="4"/>
      <c r="E194" s="4"/>
      <c r="F194" s="4"/>
      <c r="G194" s="1" t="str">
        <f t="shared" si="12"/>
        <v/>
      </c>
      <c r="H194" s="1" t="str">
        <f t="shared" si="11"/>
        <v/>
      </c>
    </row>
    <row r="195" spans="1:8" x14ac:dyDescent="0.25">
      <c r="A195" s="3"/>
      <c r="B195" s="4"/>
      <c r="C195" s="4"/>
      <c r="D195" s="4"/>
      <c r="E195" s="4"/>
      <c r="F195" s="4"/>
      <c r="G195" s="1" t="str">
        <f t="shared" si="12"/>
        <v/>
      </c>
      <c r="H195" s="1" t="str">
        <f t="shared" ref="H195:H200" si="13">IFERROR(G195+C195+D195,"")</f>
        <v/>
      </c>
    </row>
    <row r="196" spans="1:8" x14ac:dyDescent="0.25">
      <c r="A196" s="3"/>
      <c r="B196" s="4"/>
      <c r="C196" s="4"/>
      <c r="D196" s="4"/>
      <c r="E196" s="4"/>
      <c r="F196" s="4"/>
      <c r="G196" s="1" t="str">
        <f t="shared" si="12"/>
        <v/>
      </c>
      <c r="H196" s="1" t="str">
        <f t="shared" si="13"/>
        <v/>
      </c>
    </row>
    <row r="197" spans="1:8" x14ac:dyDescent="0.25">
      <c r="A197" s="3"/>
      <c r="B197" s="4"/>
      <c r="C197" s="4"/>
      <c r="D197" s="4"/>
      <c r="E197" s="4"/>
      <c r="F197" s="4"/>
      <c r="G197" s="1" t="str">
        <f t="shared" si="12"/>
        <v/>
      </c>
      <c r="H197" s="1" t="str">
        <f t="shared" si="13"/>
        <v/>
      </c>
    </row>
    <row r="198" spans="1:8" x14ac:dyDescent="0.25">
      <c r="A198" s="3"/>
      <c r="B198" s="4"/>
      <c r="C198" s="4"/>
      <c r="D198" s="4"/>
      <c r="E198" s="4"/>
      <c r="F198" s="4"/>
      <c r="G198" s="1" t="str">
        <f t="shared" si="12"/>
        <v/>
      </c>
      <c r="H198" s="1" t="str">
        <f t="shared" si="13"/>
        <v/>
      </c>
    </row>
    <row r="199" spans="1:8" x14ac:dyDescent="0.25">
      <c r="A199" s="3"/>
      <c r="B199" s="4"/>
      <c r="C199" s="4"/>
      <c r="D199" s="4"/>
      <c r="E199" s="4"/>
      <c r="F199" s="4"/>
      <c r="G199" s="1" t="str">
        <f t="shared" si="12"/>
        <v/>
      </c>
      <c r="H199" s="1" t="str">
        <f t="shared" si="13"/>
        <v/>
      </c>
    </row>
    <row r="200" spans="1:8" x14ac:dyDescent="0.25">
      <c r="A200" s="3"/>
      <c r="B200" s="4"/>
      <c r="C200" s="4"/>
      <c r="D200" s="4"/>
      <c r="E200" s="4"/>
      <c r="F200" s="4"/>
      <c r="G200" s="1" t="str">
        <f t="shared" si="12"/>
        <v/>
      </c>
      <c r="H200" s="1" t="str">
        <f t="shared" si="13"/>
        <v/>
      </c>
    </row>
    <row r="201" spans="1:8" x14ac:dyDescent="0.25">
      <c r="A201" s="7"/>
    </row>
    <row r="202" spans="1:8" x14ac:dyDescent="0.25">
      <c r="A202" s="7"/>
    </row>
    <row r="203" spans="1:8" x14ac:dyDescent="0.25">
      <c r="A203" s="7"/>
    </row>
    <row r="204" spans="1:8" x14ac:dyDescent="0.25">
      <c r="A204" s="7"/>
    </row>
    <row r="205" spans="1:8" x14ac:dyDescent="0.25">
      <c r="A205" s="7"/>
    </row>
    <row r="206" spans="1:8" x14ac:dyDescent="0.25">
      <c r="A206" s="7"/>
    </row>
    <row r="207" spans="1:8" x14ac:dyDescent="0.25">
      <c r="A207" s="7"/>
    </row>
    <row r="208" spans="1:8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</sheetData>
  <autoFilter ref="A2:H200" xr:uid="{4B8A0D65-DDDF-4E74-BBCC-E6D4C786D52D}">
    <sortState xmlns:xlrd2="http://schemas.microsoft.com/office/spreadsheetml/2017/richdata2" ref="A3:H200">
      <sortCondition ref="B2:B200"/>
    </sortState>
  </autoFilter>
  <mergeCells count="3">
    <mergeCell ref="A1:H1"/>
    <mergeCell ref="K2:L2"/>
    <mergeCell ref="I2:J2"/>
  </mergeCells>
  <conditionalFormatting sqref="D1:D1048576">
    <cfRule type="cellIs" dxfId="1528" priority="2550" operator="lessThan">
      <formula>0</formula>
    </cfRule>
  </conditionalFormatting>
  <conditionalFormatting sqref="A3">
    <cfRule type="cellIs" priority="928" operator="greaterThanOrEqual">
      <formula>0</formula>
    </cfRule>
    <cfRule type="cellIs" priority="929" operator="greaterThanOrEqual">
      <formula>0</formula>
    </cfRule>
    <cfRule type="cellIs" priority="930" operator="greaterThanOrEqual">
      <formula>0</formula>
    </cfRule>
    <cfRule type="cellIs" priority="931" operator="greaterThanOrEqual">
      <formula>0</formula>
    </cfRule>
    <cfRule type="cellIs" priority="932" operator="greaterThanOrEqual">
      <formula>0</formula>
    </cfRule>
    <cfRule type="cellIs" dxfId="1454" priority="933" operator="lessThan">
      <formula>0</formula>
    </cfRule>
    <cfRule type="cellIs" dxfId="1453" priority="934" operator="lessThan">
      <formula>0</formula>
    </cfRule>
    <cfRule type="cellIs" priority="935" operator="greaterThanOrEqual">
      <formula>0</formula>
    </cfRule>
    <cfRule type="cellIs" priority="936" operator="greaterThanOrEqual">
      <formula>0</formula>
    </cfRule>
    <cfRule type="cellIs" dxfId="1452" priority="937" operator="lessThan">
      <formula>0</formula>
    </cfRule>
    <cfRule type="cellIs" priority="938" operator="greaterThanOrEqual">
      <formula>0</formula>
    </cfRule>
    <cfRule type="cellIs" priority="939" operator="greaterThanOrEqual">
      <formula>0</formula>
    </cfRule>
    <cfRule type="cellIs" dxfId="1451" priority="940" operator="lessThan">
      <formula>0</formula>
    </cfRule>
    <cfRule type="cellIs" dxfId="1450" priority="941" operator="lessThan">
      <formula>0</formula>
    </cfRule>
    <cfRule type="cellIs" priority="942" operator="greaterThanOrEqual">
      <formula>0</formula>
    </cfRule>
    <cfRule type="cellIs" priority="943" operator="greaterThanOrEqual">
      <formula>0</formula>
    </cfRule>
    <cfRule type="cellIs" dxfId="1449" priority="944" operator="lessThan">
      <formula>0</formula>
    </cfRule>
    <cfRule type="cellIs" priority="945" operator="greaterThanOrEqual">
      <formula>0</formula>
    </cfRule>
    <cfRule type="cellIs" priority="946" operator="greaterThanOrEqual">
      <formula>0</formula>
    </cfRule>
    <cfRule type="cellIs" dxfId="1448" priority="947" operator="lessThan">
      <formula>0</formula>
    </cfRule>
    <cfRule type="cellIs" dxfId="1447" priority="948" operator="lessThan">
      <formula>0</formula>
    </cfRule>
    <cfRule type="cellIs" priority="949" operator="greaterThanOrEqual">
      <formula>0</formula>
    </cfRule>
    <cfRule type="cellIs" priority="950" operator="greaterThanOrEqual">
      <formula>0</formula>
    </cfRule>
    <cfRule type="cellIs" dxfId="1446" priority="951" operator="lessThan">
      <formula>0</formula>
    </cfRule>
    <cfRule type="cellIs" dxfId="1445" priority="952" operator="lessThan">
      <formula>0</formula>
    </cfRule>
    <cfRule type="cellIs" priority="953" operator="greaterThanOrEqual">
      <formula>0</formula>
    </cfRule>
    <cfRule type="cellIs" priority="954" operator="greaterThanOrEqual">
      <formula>0</formula>
    </cfRule>
    <cfRule type="cellIs" dxfId="1444" priority="955" operator="lessThan">
      <formula>0</formula>
    </cfRule>
    <cfRule type="cellIs" priority="956" operator="greaterThanOrEqual">
      <formula>0</formula>
    </cfRule>
    <cfRule type="cellIs" dxfId="1443" priority="957" operator="lessThan">
      <formula>0</formula>
    </cfRule>
    <cfRule type="cellIs" priority="958" operator="greaterThanOrEqual">
      <formula>0</formula>
    </cfRule>
    <cfRule type="cellIs" priority="1001" operator="greaterThanOrEqual">
      <formula>0</formula>
    </cfRule>
    <cfRule type="cellIs" priority="1002" operator="greaterThanOrEqual">
      <formula>0</formula>
    </cfRule>
    <cfRule type="cellIs" priority="1003" operator="greaterThanOrEqual">
      <formula>0</formula>
    </cfRule>
    <cfRule type="cellIs" priority="1004" operator="greaterThanOrEqual">
      <formula>0</formula>
    </cfRule>
    <cfRule type="cellIs" priority="1005" operator="greaterThanOrEqual">
      <formula>0</formula>
    </cfRule>
    <cfRule type="cellIs" dxfId="1442" priority="1006" operator="lessThan">
      <formula>0</formula>
    </cfRule>
    <cfRule type="cellIs" dxfId="1441" priority="1007" operator="lessThan">
      <formula>0</formula>
    </cfRule>
    <cfRule type="cellIs" priority="1008" operator="greaterThanOrEqual">
      <formula>0</formula>
    </cfRule>
    <cfRule type="cellIs" priority="1009" operator="greaterThanOrEqual">
      <formula>0</formula>
    </cfRule>
    <cfRule type="cellIs" dxfId="1440" priority="1010" operator="lessThan">
      <formula>0</formula>
    </cfRule>
    <cfRule type="cellIs" priority="1011" operator="greaterThanOrEqual">
      <formula>0</formula>
    </cfRule>
    <cfRule type="cellIs" priority="1012" operator="greaterThanOrEqual">
      <formula>0</formula>
    </cfRule>
    <cfRule type="cellIs" dxfId="1439" priority="1013" operator="lessThan">
      <formula>0</formula>
    </cfRule>
    <cfRule type="cellIs" dxfId="1438" priority="1014" operator="lessThan">
      <formula>0</formula>
    </cfRule>
    <cfRule type="cellIs" priority="1015" operator="greaterThanOrEqual">
      <formula>0</formula>
    </cfRule>
    <cfRule type="cellIs" priority="1016" operator="greaterThanOrEqual">
      <formula>0</formula>
    </cfRule>
    <cfRule type="cellIs" dxfId="1437" priority="1017" operator="lessThan">
      <formula>0</formula>
    </cfRule>
    <cfRule type="cellIs" priority="1018" operator="greaterThanOrEqual">
      <formula>0</formula>
    </cfRule>
    <cfRule type="cellIs" priority="1019" operator="greaterThanOrEqual">
      <formula>0</formula>
    </cfRule>
    <cfRule type="cellIs" dxfId="1436" priority="1020" operator="lessThan">
      <formula>0</formula>
    </cfRule>
    <cfRule type="cellIs" dxfId="1435" priority="1021" operator="lessThan">
      <formula>0</formula>
    </cfRule>
    <cfRule type="cellIs" priority="1022" operator="greaterThanOrEqual">
      <formula>0</formula>
    </cfRule>
    <cfRule type="cellIs" priority="1023" operator="greaterThanOrEqual">
      <formula>0</formula>
    </cfRule>
    <cfRule type="cellIs" dxfId="1434" priority="1024" operator="lessThan">
      <formula>0</formula>
    </cfRule>
    <cfRule type="cellIs" dxfId="1433" priority="1025" operator="lessThan">
      <formula>0</formula>
    </cfRule>
    <cfRule type="cellIs" priority="1026" operator="greaterThanOrEqual">
      <formula>0</formula>
    </cfRule>
    <cfRule type="cellIs" priority="1027" operator="greaterThanOrEqual">
      <formula>0</formula>
    </cfRule>
    <cfRule type="cellIs" dxfId="1432" priority="1028" operator="lessThan">
      <formula>0</formula>
    </cfRule>
    <cfRule type="cellIs" priority="1029" operator="greaterThanOrEqual">
      <formula>0</formula>
    </cfRule>
    <cfRule type="cellIs" dxfId="1431" priority="1030" operator="lessThan">
      <formula>0</formula>
    </cfRule>
    <cfRule type="cellIs" priority="1031" operator="greaterThanOrEqual">
      <formula>0</formula>
    </cfRule>
    <cfRule type="cellIs" priority="1074" operator="greaterThanOrEqual">
      <formula>0</formula>
    </cfRule>
    <cfRule type="cellIs" priority="1075" operator="greaterThanOrEqual">
      <formula>0</formula>
    </cfRule>
    <cfRule type="cellIs" priority="1076" operator="greaterThanOrEqual">
      <formula>0</formula>
    </cfRule>
    <cfRule type="cellIs" priority="1077" operator="greaterThanOrEqual">
      <formula>0</formula>
    </cfRule>
    <cfRule type="cellIs" priority="1078" operator="greaterThanOrEqual">
      <formula>0</formula>
    </cfRule>
    <cfRule type="cellIs" dxfId="1430" priority="1079" operator="lessThan">
      <formula>0</formula>
    </cfRule>
    <cfRule type="cellIs" dxfId="1429" priority="1080" operator="lessThan">
      <formula>0</formula>
    </cfRule>
    <cfRule type="cellIs" priority="1081" operator="greaterThanOrEqual">
      <formula>0</formula>
    </cfRule>
    <cfRule type="cellIs" priority="1082" operator="greaterThanOrEqual">
      <formula>0</formula>
    </cfRule>
    <cfRule type="cellIs" dxfId="1428" priority="1083" operator="lessThan">
      <formula>0</formula>
    </cfRule>
    <cfRule type="cellIs" priority="1084" operator="greaterThanOrEqual">
      <formula>0</formula>
    </cfRule>
    <cfRule type="cellIs" priority="1085" operator="greaterThanOrEqual">
      <formula>0</formula>
    </cfRule>
    <cfRule type="cellIs" dxfId="1427" priority="1086" operator="lessThan">
      <formula>0</formula>
    </cfRule>
    <cfRule type="cellIs" dxfId="1426" priority="1087" operator="lessThan">
      <formula>0</formula>
    </cfRule>
    <cfRule type="cellIs" priority="1088" operator="greaterThanOrEqual">
      <formula>0</formula>
    </cfRule>
    <cfRule type="cellIs" priority="1089" operator="greaterThanOrEqual">
      <formula>0</formula>
    </cfRule>
    <cfRule type="cellIs" dxfId="1425" priority="1090" operator="lessThan">
      <formula>0</formula>
    </cfRule>
    <cfRule type="cellIs" priority="1091" operator="greaterThanOrEqual">
      <formula>0</formula>
    </cfRule>
    <cfRule type="cellIs" priority="1092" operator="greaterThanOrEqual">
      <formula>0</formula>
    </cfRule>
    <cfRule type="cellIs" dxfId="1424" priority="1093" operator="lessThan">
      <formula>0</formula>
    </cfRule>
    <cfRule type="cellIs" dxfId="1423" priority="1094" operator="lessThan">
      <formula>0</formula>
    </cfRule>
    <cfRule type="cellIs" priority="1095" operator="greaterThanOrEqual">
      <formula>0</formula>
    </cfRule>
    <cfRule type="cellIs" priority="1096" operator="greaterThanOrEqual">
      <formula>0</formula>
    </cfRule>
    <cfRule type="cellIs" dxfId="1422" priority="1097" operator="lessThan">
      <formula>0</formula>
    </cfRule>
    <cfRule type="cellIs" dxfId="1421" priority="1098" operator="lessThan">
      <formula>0</formula>
    </cfRule>
    <cfRule type="cellIs" priority="1099" operator="greaterThanOrEqual">
      <formula>0</formula>
    </cfRule>
    <cfRule type="cellIs" priority="1100" operator="greaterThanOrEqual">
      <formula>0</formula>
    </cfRule>
    <cfRule type="cellIs" dxfId="1420" priority="1101" operator="lessThan">
      <formula>0</formula>
    </cfRule>
    <cfRule type="cellIs" priority="1102" operator="greaterThanOrEqual">
      <formula>0</formula>
    </cfRule>
    <cfRule type="cellIs" dxfId="1419" priority="1103" operator="lessThan">
      <formula>0</formula>
    </cfRule>
    <cfRule type="cellIs" priority="1104" operator="greaterThanOrEqual">
      <formula>0</formula>
    </cfRule>
    <cfRule type="cellIs" priority="1147" operator="greaterThanOrEqual">
      <formula>0</formula>
    </cfRule>
    <cfRule type="cellIs" priority="1148" operator="greaterThanOrEqual">
      <formula>0</formula>
    </cfRule>
    <cfRule type="cellIs" priority="1149" operator="greaterThanOrEqual">
      <formula>0</formula>
    </cfRule>
    <cfRule type="cellIs" priority="1150" operator="greaterThanOrEqual">
      <formula>0</formula>
    </cfRule>
    <cfRule type="cellIs" priority="1151" operator="greaterThanOrEqual">
      <formula>0</formula>
    </cfRule>
    <cfRule type="cellIs" dxfId="1418" priority="1152" operator="lessThan">
      <formula>0</formula>
    </cfRule>
    <cfRule type="cellIs" dxfId="1417" priority="1153" operator="lessThan">
      <formula>0</formula>
    </cfRule>
    <cfRule type="cellIs" priority="1154" operator="greaterThanOrEqual">
      <formula>0</formula>
    </cfRule>
    <cfRule type="cellIs" priority="1155" operator="greaterThanOrEqual">
      <formula>0</formula>
    </cfRule>
    <cfRule type="cellIs" dxfId="1416" priority="1156" operator="lessThan">
      <formula>0</formula>
    </cfRule>
    <cfRule type="cellIs" priority="1157" operator="greaterThanOrEqual">
      <formula>0</formula>
    </cfRule>
    <cfRule type="cellIs" priority="1158" operator="greaterThanOrEqual">
      <formula>0</formula>
    </cfRule>
    <cfRule type="cellIs" dxfId="1415" priority="1159" operator="lessThan">
      <formula>0</formula>
    </cfRule>
    <cfRule type="cellIs" dxfId="1414" priority="1160" operator="lessThan">
      <formula>0</formula>
    </cfRule>
    <cfRule type="cellIs" priority="1161" operator="greaterThanOrEqual">
      <formula>0</formula>
    </cfRule>
    <cfRule type="cellIs" priority="1162" operator="greaterThanOrEqual">
      <formula>0</formula>
    </cfRule>
    <cfRule type="cellIs" dxfId="1413" priority="1163" operator="lessThan">
      <formula>0</formula>
    </cfRule>
    <cfRule type="cellIs" priority="1164" operator="greaterThanOrEqual">
      <formula>0</formula>
    </cfRule>
    <cfRule type="cellIs" priority="1165" operator="greaterThanOrEqual">
      <formula>0</formula>
    </cfRule>
    <cfRule type="cellIs" dxfId="1412" priority="1166" operator="lessThan">
      <formula>0</formula>
    </cfRule>
    <cfRule type="cellIs" dxfId="1411" priority="1167" operator="lessThan">
      <formula>0</formula>
    </cfRule>
    <cfRule type="cellIs" priority="1168" operator="greaterThanOrEqual">
      <formula>0</formula>
    </cfRule>
    <cfRule type="cellIs" priority="1169" operator="greaterThanOrEqual">
      <formula>0</formula>
    </cfRule>
    <cfRule type="cellIs" dxfId="1410" priority="1170" operator="lessThan">
      <formula>0</formula>
    </cfRule>
    <cfRule type="cellIs" dxfId="1409" priority="1171" operator="lessThan">
      <formula>0</formula>
    </cfRule>
    <cfRule type="cellIs" priority="1172" operator="greaterThanOrEqual">
      <formula>0</formula>
    </cfRule>
    <cfRule type="cellIs" priority="1173" operator="greaterThanOrEqual">
      <formula>0</formula>
    </cfRule>
    <cfRule type="cellIs" dxfId="1408" priority="1174" operator="lessThan">
      <formula>0</formula>
    </cfRule>
    <cfRule type="cellIs" priority="1175" operator="greaterThanOrEqual">
      <formula>0</formula>
    </cfRule>
    <cfRule type="cellIs" dxfId="1407" priority="1176" operator="lessThan">
      <formula>0</formula>
    </cfRule>
    <cfRule type="cellIs" priority="1177" operator="greaterThanOrEqual">
      <formula>0</formula>
    </cfRule>
    <cfRule type="cellIs" dxfId="1406" priority="1220" operator="lessThan">
      <formula>0</formula>
    </cfRule>
    <cfRule type="cellIs" priority="1221" operator="greaterThanOrEqual">
      <formula>0</formula>
    </cfRule>
    <cfRule type="cellIs" priority="1222" operator="greaterThanOrEqual">
      <formula>0</formula>
    </cfRule>
    <cfRule type="cellIs" dxfId="1405" priority="1223" operator="lessThan">
      <formula>0</formula>
    </cfRule>
    <cfRule type="cellIs" dxfId="1404" priority="1224" operator="lessThan">
      <formula>0</formula>
    </cfRule>
    <cfRule type="cellIs" priority="1225" operator="greaterThanOrEqual">
      <formula>0</formula>
    </cfRule>
    <cfRule type="cellIs" priority="1226" operator="greaterThanOrEqual">
      <formula>0</formula>
    </cfRule>
    <cfRule type="cellIs" dxfId="1403" priority="1227" operator="lessThan">
      <formula>0</formula>
    </cfRule>
    <cfRule type="cellIs" priority="1228" operator="greaterThanOrEqual">
      <formula>0</formula>
    </cfRule>
    <cfRule type="cellIs" dxfId="1402" priority="1229" operator="lessThan">
      <formula>0</formula>
    </cfRule>
    <cfRule type="cellIs" priority="1230" operator="greaterThanOrEqual">
      <formula>0</formula>
    </cfRule>
    <cfRule type="cellIs" dxfId="1401" priority="1326" operator="lessThan">
      <formula>0</formula>
    </cfRule>
    <cfRule type="cellIs" priority="1327" operator="greaterThanOrEqual">
      <formula>0</formula>
    </cfRule>
    <cfRule type="cellIs" priority="1328" operator="greaterThanOrEqual">
      <formula>0</formula>
    </cfRule>
    <cfRule type="cellIs" dxfId="1400" priority="1329" operator="lessThan">
      <formula>0</formula>
    </cfRule>
    <cfRule type="cellIs" dxfId="1399" priority="1330" operator="lessThan">
      <formula>0</formula>
    </cfRule>
    <cfRule type="cellIs" priority="1331" operator="greaterThanOrEqual">
      <formula>0</formula>
    </cfRule>
    <cfRule type="cellIs" priority="1332" operator="greaterThanOrEqual">
      <formula>0</formula>
    </cfRule>
    <cfRule type="cellIs" dxfId="1398" priority="1333" operator="lessThan">
      <formula>0</formula>
    </cfRule>
    <cfRule type="cellIs" priority="1334" operator="greaterThanOrEqual">
      <formula>0</formula>
    </cfRule>
    <cfRule type="cellIs" dxfId="1397" priority="1335" operator="lessThan">
      <formula>0</formula>
    </cfRule>
    <cfRule type="cellIs" priority="1336" operator="greaterThanOrEqual">
      <formula>0</formula>
    </cfRule>
    <cfRule type="cellIs" dxfId="1396" priority="1379" operator="lessThan">
      <formula>0</formula>
    </cfRule>
    <cfRule type="cellIs" priority="1380" operator="greaterThanOrEqual">
      <formula>0</formula>
    </cfRule>
    <cfRule type="cellIs" priority="1381" operator="greaterThanOrEqual">
      <formula>0</formula>
    </cfRule>
    <cfRule type="cellIs" dxfId="1395" priority="1382" operator="lessThan">
      <formula>0</formula>
    </cfRule>
    <cfRule type="cellIs" dxfId="1394" priority="1383" operator="lessThan">
      <formula>0</formula>
    </cfRule>
    <cfRule type="cellIs" priority="1384" operator="greaterThanOrEqual">
      <formula>0</formula>
    </cfRule>
    <cfRule type="cellIs" priority="1385" operator="greaterThanOrEqual">
      <formula>0</formula>
    </cfRule>
    <cfRule type="cellIs" dxfId="1393" priority="1386" operator="lessThan">
      <formula>0</formula>
    </cfRule>
    <cfRule type="cellIs" priority="1387" operator="greaterThanOrEqual">
      <formula>0</formula>
    </cfRule>
    <cfRule type="cellIs" dxfId="1392" priority="1388" operator="lessThan">
      <formula>0</formula>
    </cfRule>
    <cfRule type="cellIs" priority="1389" operator="greaterThanOrEqual">
      <formula>0</formula>
    </cfRule>
    <cfRule type="cellIs" dxfId="1391" priority="1432" operator="lessThan">
      <formula>0</formula>
    </cfRule>
    <cfRule type="cellIs" priority="1433" operator="greaterThanOrEqual">
      <formula>0</formula>
    </cfRule>
    <cfRule type="cellIs" priority="1434" operator="greaterThanOrEqual">
      <formula>0</formula>
    </cfRule>
    <cfRule type="cellIs" dxfId="1390" priority="1435" operator="lessThan">
      <formula>0</formula>
    </cfRule>
    <cfRule type="cellIs" dxfId="1389" priority="1436" operator="lessThan">
      <formula>0</formula>
    </cfRule>
    <cfRule type="cellIs" priority="1437" operator="greaterThanOrEqual">
      <formula>0</formula>
    </cfRule>
    <cfRule type="cellIs" priority="1438" operator="greaterThanOrEqual">
      <formula>0</formula>
    </cfRule>
    <cfRule type="cellIs" dxfId="1388" priority="1439" operator="lessThan">
      <formula>0</formula>
    </cfRule>
    <cfRule type="cellIs" priority="1440" operator="greaterThanOrEqual">
      <formula>0</formula>
    </cfRule>
    <cfRule type="cellIs" dxfId="1387" priority="1441" operator="lessThan">
      <formula>0</formula>
    </cfRule>
    <cfRule type="cellIs" priority="1442" operator="greaterThanOrEqual">
      <formula>0</formula>
    </cfRule>
    <cfRule type="cellIs" dxfId="1386" priority="1485" operator="lessThan">
      <formula>0</formula>
    </cfRule>
    <cfRule type="cellIs" priority="1486" operator="greaterThanOrEqual">
      <formula>0</formula>
    </cfRule>
    <cfRule type="cellIs" priority="1487" operator="greaterThanOrEqual">
      <formula>0</formula>
    </cfRule>
    <cfRule type="cellIs" dxfId="1385" priority="1488" operator="lessThan">
      <formula>0</formula>
    </cfRule>
    <cfRule type="cellIs" dxfId="1384" priority="1489" operator="lessThan">
      <formula>0</formula>
    </cfRule>
    <cfRule type="cellIs" priority="1490" operator="greaterThanOrEqual">
      <formula>0</formula>
    </cfRule>
    <cfRule type="cellIs" priority="1491" operator="greaterThanOrEqual">
      <formula>0</formula>
    </cfRule>
    <cfRule type="cellIs" dxfId="1383" priority="1492" operator="lessThan">
      <formula>0</formula>
    </cfRule>
    <cfRule type="cellIs" priority="1493" operator="greaterThanOrEqual">
      <formula>0</formula>
    </cfRule>
    <cfRule type="cellIs" dxfId="1382" priority="1494" operator="lessThan">
      <formula>0</formula>
    </cfRule>
    <cfRule type="cellIs" priority="1495" operator="greaterThanOrEqual">
      <formula>0</formula>
    </cfRule>
    <cfRule type="cellIs" dxfId="1381" priority="1538" operator="lessThan">
      <formula>0</formula>
    </cfRule>
    <cfRule type="cellIs" priority="1539" operator="greaterThanOrEqual">
      <formula>0</formula>
    </cfRule>
    <cfRule type="cellIs" priority="1540" operator="greaterThanOrEqual">
      <formula>0</formula>
    </cfRule>
    <cfRule type="cellIs" dxfId="1380" priority="1541" operator="lessThan">
      <formula>0</formula>
    </cfRule>
    <cfRule type="cellIs" dxfId="1379" priority="1542" operator="lessThan">
      <formula>0</formula>
    </cfRule>
    <cfRule type="cellIs" priority="1543" operator="greaterThanOrEqual">
      <formula>0</formula>
    </cfRule>
    <cfRule type="cellIs" priority="1544" operator="greaterThanOrEqual">
      <formula>0</formula>
    </cfRule>
    <cfRule type="cellIs" dxfId="1378" priority="1545" operator="lessThan">
      <formula>0</formula>
    </cfRule>
    <cfRule type="cellIs" priority="1546" operator="greaterThanOrEqual">
      <formula>0</formula>
    </cfRule>
    <cfRule type="cellIs" dxfId="1377" priority="1547" operator="lessThan">
      <formula>0</formula>
    </cfRule>
    <cfRule type="cellIs" priority="1548" operator="greaterThanOrEqual">
      <formula>0</formula>
    </cfRule>
    <cfRule type="cellIs" dxfId="1376" priority="1591" operator="lessThan">
      <formula>0</formula>
    </cfRule>
    <cfRule type="cellIs" priority="1592" operator="greaterThanOrEqual">
      <formula>0</formula>
    </cfRule>
    <cfRule type="cellIs" priority="1593" operator="greaterThanOrEqual">
      <formula>0</formula>
    </cfRule>
    <cfRule type="cellIs" dxfId="1375" priority="1594" operator="lessThan">
      <formula>0</formula>
    </cfRule>
    <cfRule type="cellIs" dxfId="1374" priority="1595" operator="lessThan">
      <formula>0</formula>
    </cfRule>
    <cfRule type="cellIs" priority="1596" operator="greaterThanOrEqual">
      <formula>0</formula>
    </cfRule>
    <cfRule type="cellIs" priority="1597" operator="greaterThanOrEqual">
      <formula>0</formula>
    </cfRule>
    <cfRule type="cellIs" dxfId="1373" priority="1598" operator="lessThan">
      <formula>0</formula>
    </cfRule>
    <cfRule type="cellIs" priority="1599" operator="greaterThanOrEqual">
      <formula>0</formula>
    </cfRule>
    <cfRule type="cellIs" dxfId="1372" priority="1600" operator="lessThan">
      <formula>0</formula>
    </cfRule>
    <cfRule type="cellIs" priority="1601" operator="greaterThanOrEqual">
      <formula>0</formula>
    </cfRule>
    <cfRule type="cellIs" dxfId="1371" priority="1644" operator="lessThan">
      <formula>0</formula>
    </cfRule>
    <cfRule type="cellIs" priority="1645" operator="greaterThanOrEqual">
      <formula>0</formula>
    </cfRule>
    <cfRule type="cellIs" priority="1646" operator="greaterThanOrEqual">
      <formula>0</formula>
    </cfRule>
    <cfRule type="cellIs" dxfId="1370" priority="1647" operator="lessThan">
      <formula>0</formula>
    </cfRule>
    <cfRule type="cellIs" dxfId="1369" priority="1648" operator="lessThan">
      <formula>0</formula>
    </cfRule>
    <cfRule type="cellIs" priority="1649" operator="greaterThanOrEqual">
      <formula>0</formula>
    </cfRule>
    <cfRule type="cellIs" priority="1650" operator="greaterThanOrEqual">
      <formula>0</formula>
    </cfRule>
    <cfRule type="cellIs" dxfId="1368" priority="1651" operator="lessThan">
      <formula>0</formula>
    </cfRule>
    <cfRule type="cellIs" priority="1652" operator="greaterThanOrEqual">
      <formula>0</formula>
    </cfRule>
    <cfRule type="cellIs" dxfId="1367" priority="1653" operator="lessThan">
      <formula>0</formula>
    </cfRule>
    <cfRule type="cellIs" priority="1654" operator="greaterThanOrEqual">
      <formula>0</formula>
    </cfRule>
    <cfRule type="cellIs" dxfId="1366" priority="1697" operator="lessThan">
      <formula>0</formula>
    </cfRule>
    <cfRule type="cellIs" priority="1698" operator="greaterThanOrEqual">
      <formula>0</formula>
    </cfRule>
    <cfRule type="cellIs" priority="1699" operator="greaterThanOrEqual">
      <formula>0</formula>
    </cfRule>
    <cfRule type="cellIs" dxfId="1365" priority="1700" operator="lessThan">
      <formula>0</formula>
    </cfRule>
    <cfRule type="cellIs" dxfId="1364" priority="1701" operator="lessThan">
      <formula>0</formula>
    </cfRule>
    <cfRule type="cellIs" priority="1702" operator="greaterThanOrEqual">
      <formula>0</formula>
    </cfRule>
    <cfRule type="cellIs" priority="1703" operator="greaterThanOrEqual">
      <formula>0</formula>
    </cfRule>
    <cfRule type="cellIs" dxfId="1363" priority="1704" operator="lessThan">
      <formula>0</formula>
    </cfRule>
    <cfRule type="cellIs" priority="1705" operator="greaterThanOrEqual">
      <formula>0</formula>
    </cfRule>
    <cfRule type="cellIs" dxfId="1362" priority="1706" operator="lessThan">
      <formula>0</formula>
    </cfRule>
    <cfRule type="cellIs" priority="1707" operator="greaterThanOrEqual">
      <formula>0</formula>
    </cfRule>
    <cfRule type="cellIs" dxfId="1361" priority="1803" operator="lessThan">
      <formula>0</formula>
    </cfRule>
    <cfRule type="cellIs" priority="1804" operator="greaterThanOrEqual">
      <formula>0</formula>
    </cfRule>
    <cfRule type="cellIs" priority="1805" operator="greaterThanOrEqual">
      <formula>0</formula>
    </cfRule>
    <cfRule type="cellIs" dxfId="1360" priority="1806" operator="lessThan">
      <formula>0</formula>
    </cfRule>
    <cfRule type="cellIs" dxfId="1359" priority="1807" operator="lessThan">
      <formula>0</formula>
    </cfRule>
    <cfRule type="cellIs" priority="1808" operator="greaterThanOrEqual">
      <formula>0</formula>
    </cfRule>
    <cfRule type="cellIs" priority="1809" operator="greaterThanOrEqual">
      <formula>0</formula>
    </cfRule>
    <cfRule type="cellIs" dxfId="1358" priority="1810" operator="lessThan">
      <formula>0</formula>
    </cfRule>
    <cfRule type="cellIs" priority="1811" operator="greaterThanOrEqual">
      <formula>0</formula>
    </cfRule>
    <cfRule type="cellIs" dxfId="1357" priority="1812" operator="lessThan">
      <formula>0</formula>
    </cfRule>
    <cfRule type="cellIs" priority="1813" operator="greaterThanOrEqual">
      <formula>0</formula>
    </cfRule>
    <cfRule type="cellIs" dxfId="1356" priority="1856" operator="lessThan">
      <formula>0</formula>
    </cfRule>
    <cfRule type="cellIs" priority="1857" operator="greaterThanOrEqual">
      <formula>0</formula>
    </cfRule>
    <cfRule type="cellIs" priority="1858" operator="greaterThanOrEqual">
      <formula>0</formula>
    </cfRule>
    <cfRule type="cellIs" dxfId="1355" priority="1859" operator="lessThan">
      <formula>0</formula>
    </cfRule>
    <cfRule type="cellIs" dxfId="1354" priority="1860" operator="lessThan">
      <formula>0</formula>
    </cfRule>
    <cfRule type="cellIs" priority="1861" operator="greaterThanOrEqual">
      <formula>0</formula>
    </cfRule>
    <cfRule type="cellIs" priority="1862" operator="greaterThanOrEqual">
      <formula>0</formula>
    </cfRule>
    <cfRule type="cellIs" dxfId="1353" priority="1863" operator="lessThan">
      <formula>0</formula>
    </cfRule>
    <cfRule type="cellIs" priority="1864" operator="greaterThanOrEqual">
      <formula>0</formula>
    </cfRule>
    <cfRule type="cellIs" dxfId="1352" priority="1865" operator="lessThan">
      <formula>0</formula>
    </cfRule>
    <cfRule type="cellIs" priority="1866" operator="greaterThanOrEqual">
      <formula>0</formula>
    </cfRule>
    <cfRule type="cellIs" dxfId="1351" priority="1909" operator="lessThan">
      <formula>0</formula>
    </cfRule>
    <cfRule type="cellIs" priority="1910" operator="greaterThanOrEqual">
      <formula>0</formula>
    </cfRule>
    <cfRule type="cellIs" priority="1911" operator="greaterThanOrEqual">
      <formula>0</formula>
    </cfRule>
    <cfRule type="cellIs" dxfId="1350" priority="1912" operator="lessThan">
      <formula>0</formula>
    </cfRule>
    <cfRule type="cellIs" dxfId="1349" priority="1913" operator="lessThan">
      <formula>0</formula>
    </cfRule>
    <cfRule type="cellIs" priority="1914" operator="greaterThanOrEqual">
      <formula>0</formula>
    </cfRule>
    <cfRule type="cellIs" priority="1915" operator="greaterThanOrEqual">
      <formula>0</formula>
    </cfRule>
    <cfRule type="cellIs" dxfId="1348" priority="1916" operator="lessThan">
      <formula>0</formula>
    </cfRule>
    <cfRule type="cellIs" priority="1917" operator="greaterThanOrEqual">
      <formula>0</formula>
    </cfRule>
    <cfRule type="cellIs" dxfId="1347" priority="1918" operator="lessThan">
      <formula>0</formula>
    </cfRule>
    <cfRule type="cellIs" priority="1919" operator="greaterThanOrEqual">
      <formula>0</formula>
    </cfRule>
    <cfRule type="cellIs" dxfId="1346" priority="1964" operator="lessThan">
      <formula>0</formula>
    </cfRule>
    <cfRule type="cellIs" priority="1965" operator="greaterThanOrEqual">
      <formula>0</formula>
    </cfRule>
    <cfRule type="cellIs" priority="1966" operator="greaterThanOrEqual">
      <formula>0</formula>
    </cfRule>
    <cfRule type="cellIs" dxfId="1345" priority="1967" operator="lessThan">
      <formula>0</formula>
    </cfRule>
    <cfRule type="cellIs" dxfId="1344" priority="1968" operator="lessThan">
      <formula>0</formula>
    </cfRule>
    <cfRule type="cellIs" priority="1969" operator="greaterThanOrEqual">
      <formula>0</formula>
    </cfRule>
    <cfRule type="cellIs" priority="1970" operator="greaterThanOrEqual">
      <formula>0</formula>
    </cfRule>
    <cfRule type="cellIs" dxfId="1343" priority="1971" operator="lessThan">
      <formula>0</formula>
    </cfRule>
    <cfRule type="cellIs" priority="1972" operator="greaterThanOrEqual">
      <formula>0</formula>
    </cfRule>
    <cfRule type="cellIs" dxfId="1342" priority="1973" operator="lessThan">
      <formula>0</formula>
    </cfRule>
    <cfRule type="cellIs" priority="1974" operator="greaterThanOrEqual">
      <formula>0</formula>
    </cfRule>
    <cfRule type="cellIs" dxfId="1341" priority="2017" operator="lessThan">
      <formula>0</formula>
    </cfRule>
    <cfRule type="cellIs" priority="2018" operator="greaterThanOrEqual">
      <formula>0</formula>
    </cfRule>
    <cfRule type="cellIs" priority="2019" operator="greaterThanOrEqual">
      <formula>0</formula>
    </cfRule>
    <cfRule type="cellIs" dxfId="1340" priority="2020" operator="lessThan">
      <formula>0</formula>
    </cfRule>
    <cfRule type="cellIs" dxfId="1339" priority="2021" operator="lessThan">
      <formula>0</formula>
    </cfRule>
    <cfRule type="cellIs" priority="2022" operator="greaterThanOrEqual">
      <formula>0</formula>
    </cfRule>
    <cfRule type="cellIs" priority="2023" operator="greaterThanOrEqual">
      <formula>0</formula>
    </cfRule>
    <cfRule type="cellIs" dxfId="1338" priority="2024" operator="lessThan">
      <formula>0</formula>
    </cfRule>
    <cfRule type="cellIs" priority="2025" operator="greaterThanOrEqual">
      <formula>0</formula>
    </cfRule>
    <cfRule type="cellIs" dxfId="1337" priority="2026" operator="lessThan">
      <formula>0</formula>
    </cfRule>
    <cfRule type="cellIs" priority="2027" operator="greaterThanOrEqual">
      <formula>0</formula>
    </cfRule>
    <cfRule type="cellIs" dxfId="1336" priority="2070" operator="lessThan">
      <formula>0</formula>
    </cfRule>
    <cfRule type="cellIs" priority="2071" operator="greaterThanOrEqual">
      <formula>0</formula>
    </cfRule>
    <cfRule type="cellIs" priority="2072" operator="greaterThanOrEqual">
      <formula>0</formula>
    </cfRule>
    <cfRule type="cellIs" dxfId="1335" priority="2073" operator="lessThan">
      <formula>0</formula>
    </cfRule>
    <cfRule type="cellIs" dxfId="1334" priority="2074" operator="lessThan">
      <formula>0</formula>
    </cfRule>
    <cfRule type="cellIs" priority="2075" operator="greaterThanOrEqual">
      <formula>0</formula>
    </cfRule>
    <cfRule type="cellIs" priority="2076" operator="greaterThanOrEqual">
      <formula>0</formula>
    </cfRule>
    <cfRule type="cellIs" dxfId="1333" priority="2077" operator="lessThan">
      <formula>0</formula>
    </cfRule>
    <cfRule type="cellIs" priority="2078" operator="greaterThanOrEqual">
      <formula>0</formula>
    </cfRule>
    <cfRule type="cellIs" dxfId="1332" priority="2079" operator="lessThan">
      <formula>0</formula>
    </cfRule>
    <cfRule type="cellIs" priority="2080" operator="greaterThanOrEqual">
      <formula>0</formula>
    </cfRule>
    <cfRule type="cellIs" dxfId="1331" priority="2123" operator="lessThan">
      <formula>0</formula>
    </cfRule>
    <cfRule type="cellIs" priority="2124" operator="greaterThanOrEqual">
      <formula>0</formula>
    </cfRule>
    <cfRule type="cellIs" priority="2125" operator="greaterThanOrEqual">
      <formula>0</formula>
    </cfRule>
    <cfRule type="cellIs" dxfId="1330" priority="2126" operator="lessThan">
      <formula>0</formula>
    </cfRule>
    <cfRule type="cellIs" dxfId="1329" priority="2127" operator="lessThan">
      <formula>0</formula>
    </cfRule>
    <cfRule type="cellIs" priority="2128" operator="greaterThanOrEqual">
      <formula>0</formula>
    </cfRule>
    <cfRule type="cellIs" priority="2129" operator="greaterThanOrEqual">
      <formula>0</formula>
    </cfRule>
    <cfRule type="cellIs" dxfId="1328" priority="2130" operator="lessThan">
      <formula>0</formula>
    </cfRule>
    <cfRule type="cellIs" priority="2131" operator="greaterThanOrEqual">
      <formula>0</formula>
    </cfRule>
    <cfRule type="cellIs" dxfId="1327" priority="2132" operator="lessThan">
      <formula>0</formula>
    </cfRule>
    <cfRule type="cellIs" priority="2133" operator="greaterThanOrEqual">
      <formula>0</formula>
    </cfRule>
    <cfRule type="cellIs" dxfId="1326" priority="2180" operator="lessThan">
      <formula>0</formula>
    </cfRule>
    <cfRule type="cellIs" priority="2181" operator="greaterThanOrEqual">
      <formula>0</formula>
    </cfRule>
    <cfRule type="cellIs" priority="2182" operator="greaterThanOrEqual">
      <formula>0</formula>
    </cfRule>
    <cfRule type="cellIs" dxfId="1325" priority="2183" operator="lessThan">
      <formula>0</formula>
    </cfRule>
    <cfRule type="cellIs" dxfId="1324" priority="2184" operator="lessThan">
      <formula>0</formula>
    </cfRule>
    <cfRule type="cellIs" priority="2185" operator="greaterThanOrEqual">
      <formula>0</formula>
    </cfRule>
    <cfRule type="cellIs" priority="2186" operator="greaterThanOrEqual">
      <formula>0</formula>
    </cfRule>
    <cfRule type="cellIs" dxfId="1323" priority="2187" operator="lessThan">
      <formula>0</formula>
    </cfRule>
    <cfRule type="cellIs" priority="2188" operator="greaterThanOrEqual">
      <formula>0</formula>
    </cfRule>
    <cfRule type="cellIs" dxfId="1322" priority="2189" operator="lessThan">
      <formula>0</formula>
    </cfRule>
    <cfRule type="cellIs" priority="2190" operator="greaterThanOrEqual">
      <formula>0</formula>
    </cfRule>
    <cfRule type="cellIs" dxfId="1321" priority="2250" operator="lessThan">
      <formula>0</formula>
    </cfRule>
    <cfRule type="cellIs" dxfId="1320" priority="2251" operator="lessThan">
      <formula>0</formula>
    </cfRule>
    <cfRule type="cellIs" priority="2252" operator="greaterThanOrEqual">
      <formula>0</formula>
    </cfRule>
    <cfRule type="cellIs" priority="2253" operator="greaterThanOrEqual">
      <formula>0</formula>
    </cfRule>
    <cfRule type="cellIs" priority="2254" operator="greaterThanOrEqual">
      <formula>0</formula>
    </cfRule>
    <cfRule type="cellIs" dxfId="1319" priority="2255" operator="lessThan">
      <formula>0</formula>
    </cfRule>
    <cfRule type="cellIs" dxfId="1318" priority="2256" operator="lessThan">
      <formula>0</formula>
    </cfRule>
    <cfRule type="cellIs" dxfId="1317" priority="2257" operator="lessThan">
      <formula>0</formula>
    </cfRule>
    <cfRule type="cellIs" dxfId="1316" priority="2258" operator="lessThan">
      <formula>0</formula>
    </cfRule>
    <cfRule type="cellIs" dxfId="1315" priority="2259" operator="lessThan">
      <formula>0</formula>
    </cfRule>
    <cfRule type="cellIs" priority="2260" operator="greaterThanOrEqual">
      <formula>0</formula>
    </cfRule>
    <cfRule type="cellIs" dxfId="1314" priority="2261" operator="lessThan">
      <formula>0</formula>
    </cfRule>
    <cfRule type="cellIs" priority="2262" operator="greaterThanOrEqual">
      <formula>0</formula>
    </cfRule>
    <cfRule type="cellIs" priority="2263" operator="greaterThanOrEqual">
      <formula>0</formula>
    </cfRule>
    <cfRule type="cellIs" priority="2264" operator="greaterThanOrEqual">
      <formula>0</formula>
    </cfRule>
    <cfRule type="cellIs" dxfId="1313" priority="2265" operator="lessThan">
      <formula>0</formula>
    </cfRule>
    <cfRule type="cellIs" priority="2266" operator="greaterThanOrEqual">
      <formula>0</formula>
    </cfRule>
    <cfRule type="cellIs" priority="2267" operator="greaterThanOrEqual">
      <formula>0</formula>
    </cfRule>
    <cfRule type="cellIs" priority="2268" operator="greaterThanOrEqual">
      <formula>0</formula>
    </cfRule>
    <cfRule type="cellIs" priority="2269" operator="greaterThanOrEqual">
      <formula>0</formula>
    </cfRule>
    <cfRule type="cellIs" dxfId="1312" priority="2270" operator="lessThan">
      <formula>0</formula>
    </cfRule>
    <cfRule type="cellIs" dxfId="1311" priority="2271" operator="lessThan">
      <formula>0</formula>
    </cfRule>
    <cfRule type="cellIs" dxfId="1310" priority="2272" operator="lessThan">
      <formula>0</formula>
    </cfRule>
    <cfRule type="cellIs" dxfId="1309" priority="2273" operator="lessThan">
      <formula>0</formula>
    </cfRule>
    <cfRule type="cellIs" dxfId="1308" priority="2274" operator="lessThan">
      <formula>0</formula>
    </cfRule>
    <cfRule type="cellIs" priority="2275" operator="greaterThanOrEqual">
      <formula>0</formula>
    </cfRule>
    <cfRule type="cellIs" dxfId="1307" priority="2276" operator="lessThan">
      <formula>0</formula>
    </cfRule>
    <cfRule type="cellIs" priority="2277" operator="greaterThanOrEqual">
      <formula>0</formula>
    </cfRule>
    <cfRule type="cellIs" priority="2278" operator="greaterThanOrEqual">
      <formula>0</formula>
    </cfRule>
    <cfRule type="cellIs" priority="2279" operator="greaterThanOrEqual">
      <formula>0</formula>
    </cfRule>
    <cfRule type="cellIs" dxfId="1306" priority="2428" operator="lessThan">
      <formula>0</formula>
    </cfRule>
    <cfRule type="cellIs" dxfId="1305" priority="2429" operator="lessThan">
      <formula>0</formula>
    </cfRule>
    <cfRule type="cellIs" priority="2430" operator="greaterThanOrEqual">
      <formula>0</formula>
    </cfRule>
    <cfRule type="cellIs" priority="2431" operator="greaterThanOrEqual">
      <formula>0</formula>
    </cfRule>
    <cfRule type="cellIs" priority="2432" operator="greaterThanOrEqual">
      <formula>0</formula>
    </cfRule>
    <cfRule type="cellIs" dxfId="1304" priority="2433" operator="lessThan">
      <formula>0</formula>
    </cfRule>
    <cfRule type="cellIs" dxfId="1303" priority="2434" operator="lessThan">
      <formula>0</formula>
    </cfRule>
    <cfRule type="cellIs" dxfId="1302" priority="2435" operator="lessThan">
      <formula>0</formula>
    </cfRule>
    <cfRule type="cellIs" dxfId="1301" priority="2436" operator="lessThan">
      <formula>0</formula>
    </cfRule>
    <cfRule type="cellIs" dxfId="1300" priority="2437" operator="lessThan">
      <formula>0</formula>
    </cfRule>
    <cfRule type="cellIs" priority="2438" operator="greaterThanOrEqual">
      <formula>0</formula>
    </cfRule>
    <cfRule type="cellIs" dxfId="1299" priority="2439" operator="lessThan">
      <formula>0</formula>
    </cfRule>
    <cfRule type="cellIs" priority="2440" operator="greaterThanOrEqual">
      <formula>0</formula>
    </cfRule>
    <cfRule type="cellIs" priority="2441" operator="greaterThanOrEqual">
      <formula>0</formula>
    </cfRule>
    <cfRule type="cellIs" priority="2442" operator="greaterThanOrEqual">
      <formula>0</formula>
    </cfRule>
    <cfRule type="cellIs" dxfId="1298" priority="2443" operator="lessThan">
      <formula>0</formula>
    </cfRule>
    <cfRule type="cellIs" priority="2444" operator="greaterThanOrEqual">
      <formula>0</formula>
    </cfRule>
    <cfRule type="cellIs" priority="2445" operator="greaterThanOrEqual">
      <formula>0</formula>
    </cfRule>
    <cfRule type="cellIs" priority="2446" operator="greaterThanOrEqual">
      <formula>0</formula>
    </cfRule>
    <cfRule type="cellIs" priority="2447" operator="greaterThanOrEqual">
      <formula>0</formula>
    </cfRule>
    <cfRule type="cellIs" dxfId="1297" priority="2448" operator="lessThan">
      <formula>0</formula>
    </cfRule>
    <cfRule type="cellIs" dxfId="1296" priority="2449" operator="lessThan">
      <formula>0</formula>
    </cfRule>
    <cfRule type="cellIs" dxfId="1295" priority="2450" operator="lessThan">
      <formula>0</formula>
    </cfRule>
    <cfRule type="cellIs" dxfId="1294" priority="2451" operator="lessThan">
      <formula>0</formula>
    </cfRule>
    <cfRule type="cellIs" dxfId="1293" priority="2452" operator="lessThan">
      <formula>0</formula>
    </cfRule>
    <cfRule type="cellIs" priority="2453" operator="greaterThanOrEqual">
      <formula>0</formula>
    </cfRule>
    <cfRule type="cellIs" dxfId="1292" priority="2454" operator="lessThan">
      <formula>0</formula>
    </cfRule>
    <cfRule type="cellIs" priority="2455" operator="greaterThanOrEqual">
      <formula>0</formula>
    </cfRule>
    <cfRule type="cellIs" priority="2456" operator="greaterThanOrEqual">
      <formula>0</formula>
    </cfRule>
    <cfRule type="cellIs" priority="2457" operator="greaterThanOrEqual">
      <formula>0</formula>
    </cfRule>
    <cfRule type="cellIs" dxfId="1291" priority="2534" operator="lessThan">
      <formula>0</formula>
    </cfRule>
    <cfRule type="cellIs" dxfId="1290" priority="2535" operator="lessThan">
      <formula>0</formula>
    </cfRule>
    <cfRule type="cellIs" dxfId="1289" priority="2536" operator="lessThan">
      <formula>0</formula>
    </cfRule>
    <cfRule type="cellIs" dxfId="1288" priority="2537" operator="lessThan">
      <formula>0</formula>
    </cfRule>
    <cfRule type="cellIs" dxfId="1287" priority="2538" operator="lessThan">
      <formula>0</formula>
    </cfRule>
    <cfRule type="cellIs" dxfId="1286" priority="2539" operator="lessThan">
      <formula>0</formula>
    </cfRule>
    <cfRule type="cellIs" dxfId="1285" priority="2540" operator="lessThan">
      <formula>0</formula>
    </cfRule>
    <cfRule type="cellIs" dxfId="1284" priority="2541" operator="lessThan">
      <formula>0</formula>
    </cfRule>
    <cfRule type="cellIs" dxfId="1283" priority="2542" operator="lessThan">
      <formula>0</formula>
    </cfRule>
    <cfRule type="cellIs" dxfId="1282" priority="2543" operator="lessThan">
      <formula>0</formula>
    </cfRule>
    <cfRule type="cellIs" dxfId="1281" priority="2544" operator="lessThan">
      <formula>0</formula>
    </cfRule>
    <cfRule type="cellIs" dxfId="1280" priority="2545" operator="lessThan">
      <formula>0</formula>
    </cfRule>
    <cfRule type="cellIs" dxfId="1279" priority="2546" operator="lessThan">
      <formula>0</formula>
    </cfRule>
    <cfRule type="cellIs" dxfId="1278" priority="2547" operator="lessThan">
      <formula>0</formula>
    </cfRule>
    <cfRule type="cellIs" dxfId="1277" priority="2548" operator="lessThan">
      <formula>0</formula>
    </cfRule>
    <cfRule type="cellIs" priority="2549" stopIfTrue="1" operator="lessThan">
      <formula>0</formula>
    </cfRule>
    <cfRule type="cellIs" priority="885" operator="greaterThanOrEqual">
      <formula>0</formula>
    </cfRule>
    <cfRule type="cellIs" dxfId="1276" priority="884" operator="lessThan">
      <formula>0</formula>
    </cfRule>
    <cfRule type="cellIs" priority="883" operator="greaterThanOrEqual">
      <formula>0</formula>
    </cfRule>
    <cfRule type="cellIs" dxfId="1275" priority="882" operator="lessThan">
      <formula>0</formula>
    </cfRule>
    <cfRule type="cellIs" priority="881" operator="greaterThanOrEqual">
      <formula>0</formula>
    </cfRule>
    <cfRule type="cellIs" priority="880" operator="greaterThanOrEqual">
      <formula>0</formula>
    </cfRule>
    <cfRule type="cellIs" dxfId="1274" priority="879" operator="lessThan">
      <formula>0</formula>
    </cfRule>
    <cfRule type="cellIs" dxfId="1273" priority="878" operator="lessThan">
      <formula>0</formula>
    </cfRule>
    <cfRule type="cellIs" priority="877" operator="greaterThanOrEqual">
      <formula>0</formula>
    </cfRule>
    <cfRule type="cellIs" priority="876" operator="greaterThanOrEqual">
      <formula>0</formula>
    </cfRule>
    <cfRule type="cellIs" dxfId="1272" priority="875" operator="lessThan">
      <formula>0</formula>
    </cfRule>
    <cfRule type="cellIs" dxfId="1271" priority="874" operator="lessThan">
      <formula>0</formula>
    </cfRule>
    <cfRule type="cellIs" priority="873" operator="greaterThanOrEqual">
      <formula>0</formula>
    </cfRule>
    <cfRule type="cellIs" priority="872" operator="greaterThanOrEqual">
      <formula>0</formula>
    </cfRule>
    <cfRule type="cellIs" dxfId="1270" priority="871" operator="lessThan">
      <formula>0</formula>
    </cfRule>
    <cfRule type="cellIs" priority="870" operator="greaterThanOrEqual">
      <formula>0</formula>
    </cfRule>
    <cfRule type="cellIs" priority="869" operator="greaterThanOrEqual">
      <formula>0</formula>
    </cfRule>
    <cfRule type="cellIs" dxfId="1269" priority="868" operator="lessThan">
      <formula>0</formula>
    </cfRule>
    <cfRule type="cellIs" dxfId="1268" priority="867" operator="lessThan">
      <formula>0</formula>
    </cfRule>
    <cfRule type="cellIs" priority="866" operator="greaterThanOrEqual">
      <formula>0</formula>
    </cfRule>
    <cfRule type="cellIs" priority="865" operator="greaterThanOrEqual">
      <formula>0</formula>
    </cfRule>
    <cfRule type="cellIs" dxfId="1267" priority="864" operator="lessThan">
      <formula>0</formula>
    </cfRule>
    <cfRule type="cellIs" priority="863" operator="greaterThanOrEqual">
      <formula>0</formula>
    </cfRule>
    <cfRule type="cellIs" priority="862" operator="greaterThanOrEqual">
      <formula>0</formula>
    </cfRule>
    <cfRule type="cellIs" dxfId="1266" priority="861" operator="lessThan">
      <formula>0</formula>
    </cfRule>
    <cfRule type="cellIs" dxfId="1265" priority="860" operator="lessThan">
      <formula>0</formula>
    </cfRule>
    <cfRule type="cellIs" priority="859" operator="greaterThanOrEqual">
      <formula>0</formula>
    </cfRule>
    <cfRule type="cellIs" priority="858" operator="greaterThanOrEqual">
      <formula>0</formula>
    </cfRule>
    <cfRule type="cellIs" priority="857" operator="greaterThanOrEqual">
      <formula>0</formula>
    </cfRule>
    <cfRule type="cellIs" priority="856" operator="greaterThanOrEqual">
      <formula>0</formula>
    </cfRule>
    <cfRule type="cellIs" priority="855" operator="greaterThanOrEqual">
      <formula>0</formula>
    </cfRule>
    <cfRule type="cellIs" priority="812" operator="greaterThanOrEqual">
      <formula>0</formula>
    </cfRule>
    <cfRule type="cellIs" dxfId="1264" priority="811" operator="lessThan">
      <formula>0</formula>
    </cfRule>
    <cfRule type="cellIs" priority="810" operator="greaterThanOrEqual">
      <formula>0</formula>
    </cfRule>
    <cfRule type="cellIs" dxfId="1263" priority="809" operator="lessThan">
      <formula>0</formula>
    </cfRule>
    <cfRule type="cellIs" priority="808" operator="greaterThanOrEqual">
      <formula>0</formula>
    </cfRule>
    <cfRule type="cellIs" priority="807" operator="greaterThanOrEqual">
      <formula>0</formula>
    </cfRule>
    <cfRule type="cellIs" dxfId="1262" priority="806" operator="lessThan">
      <formula>0</formula>
    </cfRule>
    <cfRule type="cellIs" dxfId="1261" priority="805" operator="lessThan">
      <formula>0</formula>
    </cfRule>
    <cfRule type="cellIs" priority="804" operator="greaterThanOrEqual">
      <formula>0</formula>
    </cfRule>
    <cfRule type="cellIs" priority="803" operator="greaterThanOrEqual">
      <formula>0</formula>
    </cfRule>
    <cfRule type="cellIs" dxfId="1260" priority="802" operator="lessThan">
      <formula>0</formula>
    </cfRule>
    <cfRule type="cellIs" dxfId="1259" priority="801" operator="lessThan">
      <formula>0</formula>
    </cfRule>
    <cfRule type="cellIs" priority="800" operator="greaterThanOrEqual">
      <formula>0</formula>
    </cfRule>
    <cfRule type="cellIs" priority="799" operator="greaterThanOrEqual">
      <formula>0</formula>
    </cfRule>
    <cfRule type="cellIs" dxfId="1258" priority="798" operator="lessThan">
      <formula>0</formula>
    </cfRule>
    <cfRule type="cellIs" priority="797" operator="greaterThanOrEqual">
      <formula>0</formula>
    </cfRule>
    <cfRule type="cellIs" priority="796" operator="greaterThanOrEqual">
      <formula>0</formula>
    </cfRule>
    <cfRule type="cellIs" dxfId="1257" priority="795" operator="lessThan">
      <formula>0</formula>
    </cfRule>
    <cfRule type="cellIs" dxfId="1256" priority="794" operator="lessThan">
      <formula>0</formula>
    </cfRule>
    <cfRule type="cellIs" priority="793" operator="greaterThanOrEqual">
      <formula>0</formula>
    </cfRule>
    <cfRule type="cellIs" priority="792" operator="greaterThanOrEqual">
      <formula>0</formula>
    </cfRule>
    <cfRule type="cellIs" dxfId="1255" priority="791" operator="lessThan">
      <formula>0</formula>
    </cfRule>
    <cfRule type="cellIs" priority="790" operator="greaterThanOrEqual">
      <formula>0</formula>
    </cfRule>
    <cfRule type="cellIs" priority="789" operator="greaterThanOrEqual">
      <formula>0</formula>
    </cfRule>
    <cfRule type="cellIs" dxfId="1254" priority="788" operator="lessThan">
      <formula>0</formula>
    </cfRule>
    <cfRule type="cellIs" dxfId="1253" priority="787" operator="lessThan">
      <formula>0</formula>
    </cfRule>
    <cfRule type="cellIs" priority="786" operator="greaterThanOrEqual">
      <formula>0</formula>
    </cfRule>
    <cfRule type="cellIs" priority="785" operator="greaterThanOrEqual">
      <formula>0</formula>
    </cfRule>
    <cfRule type="cellIs" priority="784" operator="greaterThanOrEqual">
      <formula>0</formula>
    </cfRule>
    <cfRule type="cellIs" priority="783" operator="greaterThanOrEqual">
      <formula>0</formula>
    </cfRule>
    <cfRule type="cellIs" priority="782" operator="greaterThanOrEqual">
      <formula>0</formula>
    </cfRule>
    <cfRule type="cellIs" priority="739" operator="greaterThanOrEqual">
      <formula>0</formula>
    </cfRule>
    <cfRule type="cellIs" dxfId="1252" priority="738" operator="lessThan">
      <formula>0</formula>
    </cfRule>
    <cfRule type="cellIs" priority="737" operator="greaterThanOrEqual">
      <formula>0</formula>
    </cfRule>
    <cfRule type="cellIs" dxfId="1251" priority="736" operator="lessThan">
      <formula>0</formula>
    </cfRule>
    <cfRule type="cellIs" priority="735" operator="greaterThanOrEqual">
      <formula>0</formula>
    </cfRule>
    <cfRule type="cellIs" priority="734" operator="greaterThanOrEqual">
      <formula>0</formula>
    </cfRule>
    <cfRule type="cellIs" dxfId="1250" priority="733" operator="lessThan">
      <formula>0</formula>
    </cfRule>
    <cfRule type="cellIs" dxfId="1249" priority="732" operator="lessThan">
      <formula>0</formula>
    </cfRule>
    <cfRule type="cellIs" priority="731" operator="greaterThanOrEqual">
      <formula>0</formula>
    </cfRule>
    <cfRule type="cellIs" priority="730" operator="greaterThanOrEqual">
      <formula>0</formula>
    </cfRule>
    <cfRule type="cellIs" dxfId="1248" priority="729" operator="lessThan">
      <formula>0</formula>
    </cfRule>
    <cfRule type="cellIs" dxfId="1247" priority="728" operator="lessThan">
      <formula>0</formula>
    </cfRule>
    <cfRule type="cellIs" priority="727" operator="greaterThanOrEqual">
      <formula>0</formula>
    </cfRule>
    <cfRule type="cellIs" priority="726" operator="greaterThanOrEqual">
      <formula>0</formula>
    </cfRule>
    <cfRule type="cellIs" dxfId="1246" priority="725" operator="lessThan">
      <formula>0</formula>
    </cfRule>
    <cfRule type="cellIs" priority="724" operator="greaterThanOrEqual">
      <formula>0</formula>
    </cfRule>
    <cfRule type="cellIs" priority="723" operator="greaterThanOrEqual">
      <formula>0</formula>
    </cfRule>
    <cfRule type="cellIs" dxfId="1245" priority="722" operator="lessThan">
      <formula>0</formula>
    </cfRule>
    <cfRule type="cellIs" dxfId="1244" priority="721" operator="lessThan">
      <formula>0</formula>
    </cfRule>
    <cfRule type="cellIs" priority="720" operator="greaterThanOrEqual">
      <formula>0</formula>
    </cfRule>
    <cfRule type="cellIs" priority="719" operator="greaterThanOrEqual">
      <formula>0</formula>
    </cfRule>
    <cfRule type="cellIs" dxfId="1243" priority="718" operator="lessThan">
      <formula>0</formula>
    </cfRule>
    <cfRule type="cellIs" priority="717" operator="greaterThanOrEqual">
      <formula>0</formula>
    </cfRule>
    <cfRule type="cellIs" priority="716" operator="greaterThanOrEqual">
      <formula>0</formula>
    </cfRule>
    <cfRule type="cellIs" dxfId="1242" priority="715" operator="lessThan">
      <formula>0</formula>
    </cfRule>
    <cfRule type="cellIs" dxfId="1241" priority="714" operator="lessThan">
      <formula>0</formula>
    </cfRule>
    <cfRule type="cellIs" priority="713" operator="greaterThanOrEqual">
      <formula>0</formula>
    </cfRule>
    <cfRule type="cellIs" priority="712" operator="greaterThanOrEqual">
      <formula>0</formula>
    </cfRule>
    <cfRule type="cellIs" priority="711" operator="greaterThanOrEqual">
      <formula>0</formula>
    </cfRule>
    <cfRule type="cellIs" priority="710" operator="greaterThanOrEqual">
      <formula>0</formula>
    </cfRule>
    <cfRule type="cellIs" priority="709" operator="greaterThanOrEqual">
      <formula>0</formula>
    </cfRule>
    <cfRule type="cellIs" priority="666" operator="greaterThanOrEqual">
      <formula>0</formula>
    </cfRule>
    <cfRule type="cellIs" priority="662" operator="greaterThanOrEqual">
      <formula>0</formula>
    </cfRule>
    <cfRule type="cellIs" dxfId="1240" priority="661" operator="lessThan">
      <formula>0</formula>
    </cfRule>
    <cfRule type="cellIs" priority="660" operator="greaterThanOrEqual">
      <formula>0</formula>
    </cfRule>
    <cfRule type="cellIs" dxfId="1239" priority="659" operator="lessThan">
      <formula>0</formula>
    </cfRule>
    <cfRule type="cellIs" priority="658" operator="greaterThanOrEqual">
      <formula>0</formula>
    </cfRule>
    <cfRule type="cellIs" priority="657" operator="greaterThanOrEqual">
      <formula>0</formula>
    </cfRule>
    <cfRule type="cellIs" dxfId="1238" priority="656" operator="lessThan">
      <formula>0</formula>
    </cfRule>
    <cfRule type="cellIs" dxfId="1237" priority="655" operator="lessThan">
      <formula>0</formula>
    </cfRule>
    <cfRule type="cellIs" priority="654" operator="greaterThanOrEqual">
      <formula>0</formula>
    </cfRule>
    <cfRule type="cellIs" priority="653" operator="greaterThanOrEqual">
      <formula>0</formula>
    </cfRule>
    <cfRule type="cellIs" dxfId="1236" priority="652" operator="lessThan">
      <formula>0</formula>
    </cfRule>
    <cfRule type="cellIs" dxfId="1235" priority="651" operator="lessThan">
      <formula>0</formula>
    </cfRule>
    <cfRule type="cellIs" priority="650" operator="greaterThanOrEqual">
      <formula>0</formula>
    </cfRule>
    <cfRule type="cellIs" priority="649" operator="greaterThanOrEqual">
      <formula>0</formula>
    </cfRule>
    <cfRule type="cellIs" dxfId="1234" priority="648" operator="lessThan">
      <formula>0</formula>
    </cfRule>
    <cfRule type="cellIs" priority="647" operator="greaterThanOrEqual">
      <formula>0</formula>
    </cfRule>
    <cfRule type="cellIs" priority="646" operator="greaterThanOrEqual">
      <formula>0</formula>
    </cfRule>
    <cfRule type="cellIs" dxfId="1233" priority="645" operator="lessThan">
      <formula>0</formula>
    </cfRule>
    <cfRule type="cellIs" dxfId="1232" priority="644" operator="lessThan">
      <formula>0</formula>
    </cfRule>
    <cfRule type="cellIs" priority="643" operator="greaterThanOrEqual">
      <formula>0</formula>
    </cfRule>
    <cfRule type="cellIs" priority="642" operator="greaterThanOrEqual">
      <formula>0</formula>
    </cfRule>
    <cfRule type="cellIs" dxfId="1231" priority="641" operator="lessThan">
      <formula>0</formula>
    </cfRule>
    <cfRule type="cellIs" priority="640" operator="greaterThanOrEqual">
      <formula>0</formula>
    </cfRule>
    <cfRule type="cellIs" priority="639" operator="greaterThanOrEqual">
      <formula>0</formula>
    </cfRule>
    <cfRule type="cellIs" dxfId="1230" priority="638" operator="lessThan">
      <formula>0</formula>
    </cfRule>
    <cfRule type="cellIs" dxfId="1229" priority="637" operator="lessThan">
      <formula>0</formula>
    </cfRule>
    <cfRule type="cellIs" priority="636" operator="greaterThanOrEqual">
      <formula>0</formula>
    </cfRule>
    <cfRule type="cellIs" priority="635" operator="greaterThanOrEqual">
      <formula>0</formula>
    </cfRule>
    <cfRule type="cellIs" priority="634" operator="greaterThanOrEqual">
      <formula>0</formula>
    </cfRule>
    <cfRule type="cellIs" priority="633" operator="greaterThanOrEqual">
      <formula>0</formula>
    </cfRule>
    <cfRule type="cellIs" priority="632" operator="greaterThanOrEqual">
      <formula>0</formula>
    </cfRule>
    <cfRule type="cellIs" priority="589" operator="greaterThanOrEqual">
      <formula>0</formula>
    </cfRule>
    <cfRule type="cellIs" dxfId="1228" priority="588" operator="lessThan">
      <formula>0</formula>
    </cfRule>
    <cfRule type="cellIs" priority="587" operator="greaterThanOrEqual">
      <formula>0</formula>
    </cfRule>
    <cfRule type="cellIs" dxfId="1227" priority="586" operator="lessThan">
      <formula>0</formula>
    </cfRule>
    <cfRule type="cellIs" priority="585" operator="greaterThanOrEqual">
      <formula>0</formula>
    </cfRule>
    <cfRule type="cellIs" priority="584" operator="greaterThanOrEqual">
      <formula>0</formula>
    </cfRule>
    <cfRule type="cellIs" dxfId="1226" priority="583" operator="lessThan">
      <formula>0</formula>
    </cfRule>
    <cfRule type="cellIs" dxfId="1225" priority="582" operator="lessThan">
      <formula>0</formula>
    </cfRule>
    <cfRule type="cellIs" priority="581" operator="greaterThanOrEqual">
      <formula>0</formula>
    </cfRule>
    <cfRule type="cellIs" priority="580" operator="greaterThanOrEqual">
      <formula>0</formula>
    </cfRule>
    <cfRule type="cellIs" dxfId="1224" priority="579" operator="lessThan">
      <formula>0</formula>
    </cfRule>
    <cfRule type="cellIs" dxfId="1223" priority="578" operator="lessThan">
      <formula>0</formula>
    </cfRule>
    <cfRule type="cellIs" priority="577" operator="greaterThanOrEqual">
      <formula>0</formula>
    </cfRule>
    <cfRule type="cellIs" priority="576" operator="greaterThanOrEqual">
      <formula>0</formula>
    </cfRule>
    <cfRule type="cellIs" dxfId="1222" priority="575" operator="lessThan">
      <formula>0</formula>
    </cfRule>
    <cfRule type="cellIs" priority="574" operator="greaterThanOrEqual">
      <formula>0</formula>
    </cfRule>
    <cfRule type="cellIs" priority="573" operator="greaterThanOrEqual">
      <formula>0</formula>
    </cfRule>
    <cfRule type="cellIs" dxfId="1221" priority="572" operator="lessThan">
      <formula>0</formula>
    </cfRule>
    <cfRule type="cellIs" dxfId="1220" priority="571" operator="lessThan">
      <formula>0</formula>
    </cfRule>
    <cfRule type="cellIs" priority="570" operator="greaterThanOrEqual">
      <formula>0</formula>
    </cfRule>
    <cfRule type="cellIs" priority="569" operator="greaterThanOrEqual">
      <formula>0</formula>
    </cfRule>
    <cfRule type="cellIs" dxfId="1219" priority="568" operator="lessThan">
      <formula>0</formula>
    </cfRule>
    <cfRule type="cellIs" priority="567" operator="greaterThanOrEqual">
      <formula>0</formula>
    </cfRule>
    <cfRule type="cellIs" priority="566" operator="greaterThanOrEqual">
      <formula>0</formula>
    </cfRule>
    <cfRule type="cellIs" dxfId="1218" priority="565" operator="lessThan">
      <formula>0</formula>
    </cfRule>
    <cfRule type="cellIs" dxfId="1217" priority="564" operator="lessThan">
      <formula>0</formula>
    </cfRule>
    <cfRule type="cellIs" priority="563" operator="greaterThanOrEqual">
      <formula>0</formula>
    </cfRule>
    <cfRule type="cellIs" priority="562" operator="greaterThanOrEqual">
      <formula>0</formula>
    </cfRule>
    <cfRule type="cellIs" priority="561" operator="greaterThanOrEqual">
      <formula>0</formula>
    </cfRule>
    <cfRule type="cellIs" priority="560" operator="greaterThanOrEqual">
      <formula>0</formula>
    </cfRule>
    <cfRule type="cellIs" priority="559" operator="greaterThanOrEqual">
      <formula>0</formula>
    </cfRule>
    <cfRule type="cellIs" dxfId="1216" priority="443" operator="lessThan">
      <formula>0</formula>
    </cfRule>
    <cfRule type="cellIs" dxfId="1215" priority="442" operator="greaterThanOrEqual">
      <formula>0</formula>
    </cfRule>
    <cfRule type="cellIs" dxfId="1214" priority="441" operator="lessThan">
      <formula>0</formula>
    </cfRule>
    <cfRule type="cellIs" dxfId="1213" priority="440" operator="greaterThanOrEqual">
      <formula>0</formula>
    </cfRule>
    <cfRule type="cellIs" dxfId="1212" priority="439" operator="lessThan">
      <formula>0</formula>
    </cfRule>
    <cfRule type="cellIs" dxfId="1211" priority="438" operator="greaterThanOrEqual">
      <formula>0</formula>
    </cfRule>
    <cfRule type="cellIs" dxfId="1210" priority="437" operator="greaterThanOrEqual">
      <formula>0</formula>
    </cfRule>
    <cfRule type="cellIs" dxfId="1209" priority="436" operator="lessThan">
      <formula>0</formula>
    </cfRule>
    <cfRule type="cellIs" dxfId="1208" priority="435" operator="lessThan">
      <formula>0</formula>
    </cfRule>
    <cfRule type="cellIs" dxfId="1207" priority="434" operator="greaterThanOrEqual">
      <formula>0</formula>
    </cfRule>
    <cfRule type="cellIs" dxfId="1206" priority="433" operator="greaterThanOrEqual">
      <formula>0</formula>
    </cfRule>
    <cfRule type="cellIs" dxfId="1205" priority="432" operator="lessThan">
      <formula>0</formula>
    </cfRule>
    <cfRule type="cellIs" dxfId="1204" priority="431" operator="lessThan">
      <formula>0</formula>
    </cfRule>
    <cfRule type="cellIs" dxfId="1203" priority="430" operator="greaterThanOrEqual">
      <formula>0</formula>
    </cfRule>
    <cfRule type="cellIs" dxfId="1202" priority="429" operator="greaterThanOrEqual">
      <formula>0</formula>
    </cfRule>
    <cfRule type="cellIs" dxfId="1201" priority="428" operator="lessThan">
      <formula>0</formula>
    </cfRule>
    <cfRule type="cellIs" dxfId="1200" priority="427" operator="greaterThanOrEqual">
      <formula>0</formula>
    </cfRule>
    <cfRule type="cellIs" dxfId="1199" priority="426" operator="greaterThanOrEqual">
      <formula>0</formula>
    </cfRule>
    <cfRule type="cellIs" dxfId="1198" priority="425" operator="lessThan">
      <formula>0</formula>
    </cfRule>
    <cfRule type="cellIs" dxfId="1197" priority="424" operator="lessThan">
      <formula>0</formula>
    </cfRule>
    <cfRule type="cellIs" dxfId="1196" priority="423" operator="greaterThanOrEqual">
      <formula>0</formula>
    </cfRule>
    <cfRule type="cellIs" dxfId="1195" priority="422" operator="greaterThanOrEqual">
      <formula>0</formula>
    </cfRule>
    <cfRule type="cellIs" dxfId="1194" priority="421" operator="lessThan">
      <formula>0</formula>
    </cfRule>
    <cfRule type="cellIs" dxfId="1193" priority="420" operator="greaterThanOrEqual">
      <formula>0</formula>
    </cfRule>
    <cfRule type="cellIs" dxfId="1192" priority="419" operator="greaterThanOrEqual">
      <formula>0</formula>
    </cfRule>
    <cfRule type="cellIs" dxfId="1191" priority="418" operator="lessThan">
      <formula>0</formula>
    </cfRule>
    <cfRule type="cellIs" dxfId="1190" priority="417" operator="lessThan">
      <formula>0</formula>
    </cfRule>
    <cfRule type="cellIs" dxfId="1189" priority="416" operator="greaterThanOrEqual">
      <formula>0</formula>
    </cfRule>
    <cfRule type="cellIs" dxfId="1188" priority="415" operator="greaterThanOrEqual">
      <formula>0</formula>
    </cfRule>
    <cfRule type="cellIs" dxfId="1187" priority="414" operator="greaterThanOrEqual">
      <formula>0</formula>
    </cfRule>
    <cfRule type="cellIs" dxfId="1186" priority="413" operator="greaterThanOrEqual">
      <formula>0</formula>
    </cfRule>
    <cfRule type="cellIs" dxfId="1185" priority="412" operator="greaterThanOrEqual">
      <formula>0</formula>
    </cfRule>
    <cfRule type="cellIs" dxfId="1184" priority="369" operator="greaterThanOrEqual">
      <formula>0</formula>
    </cfRule>
    <cfRule type="cellIs" dxfId="1183" priority="368" operator="lessThan">
      <formula>0</formula>
    </cfRule>
    <cfRule type="cellIs" dxfId="1182" priority="367" operator="greaterThanOrEqual">
      <formula>0</formula>
    </cfRule>
    <cfRule type="cellIs" dxfId="1181" priority="366" operator="lessThan">
      <formula>0</formula>
    </cfRule>
    <cfRule type="cellIs" dxfId="1180" priority="365" operator="greaterThanOrEqual">
      <formula>0</formula>
    </cfRule>
    <cfRule type="cellIs" dxfId="1179" priority="364" operator="greaterThanOrEqual">
      <formula>0</formula>
    </cfRule>
    <cfRule type="cellIs" dxfId="1178" priority="363" operator="lessThan">
      <formula>0</formula>
    </cfRule>
    <cfRule type="cellIs" dxfId="1177" priority="362" operator="lessThan">
      <formula>0</formula>
    </cfRule>
    <cfRule type="cellIs" dxfId="1176" priority="361" operator="greaterThanOrEqual">
      <formula>0</formula>
    </cfRule>
    <cfRule type="cellIs" dxfId="1175" priority="360" operator="greaterThanOrEqual">
      <formula>0</formula>
    </cfRule>
    <cfRule type="cellIs" dxfId="1174" priority="359" operator="lessThan">
      <formula>0</formula>
    </cfRule>
    <cfRule type="cellIs" dxfId="1173" priority="358" operator="lessThan">
      <formula>0</formula>
    </cfRule>
    <cfRule type="cellIs" dxfId="1172" priority="357" operator="greaterThanOrEqual">
      <formula>0</formula>
    </cfRule>
    <cfRule type="cellIs" dxfId="1171" priority="356" operator="greaterThanOrEqual">
      <formula>0</formula>
    </cfRule>
    <cfRule type="cellIs" dxfId="1170" priority="355" operator="lessThan">
      <formula>0</formula>
    </cfRule>
    <cfRule type="cellIs" dxfId="1169" priority="354" operator="greaterThanOrEqual">
      <formula>0</formula>
    </cfRule>
    <cfRule type="cellIs" dxfId="1168" priority="353" operator="greaterThanOrEqual">
      <formula>0</formula>
    </cfRule>
    <cfRule type="cellIs" dxfId="1167" priority="352" operator="lessThan">
      <formula>0</formula>
    </cfRule>
    <cfRule type="cellIs" dxfId="1166" priority="351" operator="lessThan">
      <formula>0</formula>
    </cfRule>
    <cfRule type="cellIs" dxfId="1165" priority="350" operator="greaterThanOrEqual">
      <formula>0</formula>
    </cfRule>
    <cfRule type="cellIs" dxfId="1164" priority="349" operator="greaterThanOrEqual">
      <formula>0</formula>
    </cfRule>
    <cfRule type="cellIs" dxfId="1163" priority="348" operator="lessThan">
      <formula>0</formula>
    </cfRule>
    <cfRule type="cellIs" dxfId="1162" priority="347" operator="greaterThanOrEqual">
      <formula>0</formula>
    </cfRule>
    <cfRule type="cellIs" dxfId="1161" priority="346" operator="greaterThanOrEqual">
      <formula>0</formula>
    </cfRule>
    <cfRule type="cellIs" dxfId="1160" priority="345" operator="lessThan">
      <formula>0</formula>
    </cfRule>
    <cfRule type="cellIs" dxfId="1159" priority="344" operator="lessThan">
      <formula>0</formula>
    </cfRule>
    <cfRule type="cellIs" dxfId="1158" priority="343" operator="greaterThanOrEqual">
      <formula>0</formula>
    </cfRule>
    <cfRule type="cellIs" dxfId="1157" priority="342" operator="greaterThanOrEqual">
      <formula>0</formula>
    </cfRule>
    <cfRule type="cellIs" dxfId="1156" priority="341" operator="greaterThanOrEqual">
      <formula>0</formula>
    </cfRule>
    <cfRule type="cellIs" dxfId="1155" priority="340" operator="greaterThanOrEqual">
      <formula>0</formula>
    </cfRule>
    <cfRule type="cellIs" dxfId="1154" priority="339" operator="greaterThanOrEqual">
      <formula>0</formula>
    </cfRule>
    <cfRule type="cellIs" dxfId="1153" priority="290" operator="greaterThanOrEqual">
      <formula>0</formula>
    </cfRule>
    <cfRule type="cellIs" dxfId="1152" priority="289" operator="lessThan">
      <formula>0</formula>
    </cfRule>
    <cfRule type="cellIs" dxfId="1151" priority="288" operator="greaterThanOrEqual">
      <formula>0</formula>
    </cfRule>
    <cfRule type="cellIs" dxfId="1150" priority="287" operator="lessThan">
      <formula>0</formula>
    </cfRule>
    <cfRule type="cellIs" dxfId="1149" priority="286" operator="greaterThanOrEqual">
      <formula>0</formula>
    </cfRule>
    <cfRule type="cellIs" dxfId="1148" priority="285" operator="greaterThanOrEqual">
      <formula>0</formula>
    </cfRule>
    <cfRule type="cellIs" dxfId="1147" priority="284" operator="lessThan">
      <formula>0</formula>
    </cfRule>
    <cfRule type="cellIs" dxfId="1146" priority="283" operator="lessThan">
      <formula>0</formula>
    </cfRule>
    <cfRule type="cellIs" dxfId="1145" priority="282" operator="greaterThanOrEqual">
      <formula>0</formula>
    </cfRule>
    <cfRule type="cellIs" dxfId="1144" priority="281" operator="greaterThanOrEqual">
      <formula>0</formula>
    </cfRule>
    <cfRule type="cellIs" dxfId="1143" priority="280" operator="lessThan">
      <formula>0</formula>
    </cfRule>
    <cfRule type="cellIs" dxfId="1142" priority="279" operator="lessThan">
      <formula>0</formula>
    </cfRule>
    <cfRule type="cellIs" dxfId="1141" priority="278" operator="greaterThanOrEqual">
      <formula>0</formula>
    </cfRule>
    <cfRule type="cellIs" dxfId="1140" priority="277" operator="greaterThanOrEqual">
      <formula>0</formula>
    </cfRule>
    <cfRule type="cellIs" dxfId="1139" priority="276" operator="lessThan">
      <formula>0</formula>
    </cfRule>
    <cfRule type="cellIs" dxfId="1138" priority="275" operator="greaterThanOrEqual">
      <formula>0</formula>
    </cfRule>
    <cfRule type="cellIs" dxfId="1137" priority="274" operator="greaterThanOrEqual">
      <formula>0</formula>
    </cfRule>
    <cfRule type="cellIs" dxfId="1136" priority="273" operator="lessThan">
      <formula>0</formula>
    </cfRule>
    <cfRule type="cellIs" dxfId="1135" priority="272" operator="lessThan">
      <formula>0</formula>
    </cfRule>
    <cfRule type="cellIs" dxfId="1134" priority="271" operator="greaterThanOrEqual">
      <formula>0</formula>
    </cfRule>
    <cfRule type="cellIs" dxfId="1133" priority="270" operator="greaterThanOrEqual">
      <formula>0</formula>
    </cfRule>
    <cfRule type="cellIs" dxfId="1132" priority="269" operator="lessThan">
      <formula>0</formula>
    </cfRule>
    <cfRule type="cellIs" dxfId="1131" priority="268" operator="greaterThanOrEqual">
      <formula>0</formula>
    </cfRule>
    <cfRule type="cellIs" dxfId="1130" priority="267" operator="greaterThanOrEqual">
      <formula>0</formula>
    </cfRule>
    <cfRule type="cellIs" dxfId="1129" priority="266" operator="lessThan">
      <formula>0</formula>
    </cfRule>
    <cfRule type="cellIs" dxfId="1128" priority="265" operator="lessThan">
      <formula>0</formula>
    </cfRule>
    <cfRule type="cellIs" dxfId="1127" priority="264" operator="greaterThanOrEqual">
      <formula>0</formula>
    </cfRule>
    <cfRule type="cellIs" dxfId="1126" priority="263" operator="greaterThanOrEqual">
      <formula>0</formula>
    </cfRule>
    <cfRule type="cellIs" dxfId="1125" priority="262" operator="greaterThanOrEqual">
      <formula>0</formula>
    </cfRule>
    <cfRule type="cellIs" dxfId="1124" priority="261" operator="greaterThanOrEqual">
      <formula>0</formula>
    </cfRule>
    <cfRule type="cellIs" dxfId="1123" priority="260" operator="greaterThanOrEqual">
      <formula>0</formula>
    </cfRule>
    <cfRule type="cellIs" dxfId="1122" priority="215" operator="greaterThanOrEqual">
      <formula>0</formula>
    </cfRule>
    <cfRule type="cellIs" dxfId="1121" priority="214" operator="lessThan">
      <formula>0</formula>
    </cfRule>
    <cfRule type="cellIs" dxfId="1120" priority="213" operator="greaterThanOrEqual">
      <formula>0</formula>
    </cfRule>
    <cfRule type="cellIs" dxfId="1119" priority="212" operator="lessThan">
      <formula>0</formula>
    </cfRule>
    <cfRule type="cellIs" dxfId="1118" priority="211" operator="greaterThanOrEqual">
      <formula>0</formula>
    </cfRule>
    <cfRule type="cellIs" dxfId="1117" priority="210" operator="greaterThanOrEqual">
      <formula>0</formula>
    </cfRule>
    <cfRule type="cellIs" dxfId="1116" priority="209" operator="lessThan">
      <formula>0</formula>
    </cfRule>
    <cfRule type="cellIs" dxfId="1115" priority="208" operator="lessThan">
      <formula>0</formula>
    </cfRule>
    <cfRule type="cellIs" dxfId="1114" priority="207" operator="greaterThanOrEqual">
      <formula>0</formula>
    </cfRule>
    <cfRule type="cellIs" dxfId="1113" priority="206" operator="greaterThanOrEqual">
      <formula>0</formula>
    </cfRule>
    <cfRule type="cellIs" dxfId="1112" priority="205" operator="lessThan">
      <formula>0</formula>
    </cfRule>
    <cfRule type="cellIs" dxfId="1111" priority="204" operator="lessThan">
      <formula>0</formula>
    </cfRule>
    <cfRule type="cellIs" dxfId="1110" priority="203" operator="greaterThanOrEqual">
      <formula>0</formula>
    </cfRule>
    <cfRule type="cellIs" dxfId="1109" priority="202" operator="greaterThanOrEqual">
      <formula>0</formula>
    </cfRule>
    <cfRule type="cellIs" dxfId="1108" priority="201" operator="lessThan">
      <formula>0</formula>
    </cfRule>
    <cfRule type="cellIs" dxfId="1107" priority="200" operator="greaterThanOrEqual">
      <formula>0</formula>
    </cfRule>
    <cfRule type="cellIs" dxfId="1106" priority="199" operator="greaterThanOrEqual">
      <formula>0</formula>
    </cfRule>
    <cfRule type="cellIs" dxfId="1105" priority="198" operator="lessThan">
      <formula>0</formula>
    </cfRule>
    <cfRule type="cellIs" dxfId="1104" priority="197" operator="lessThan">
      <formula>0</formula>
    </cfRule>
    <cfRule type="cellIs" dxfId="1103" priority="196" operator="greaterThanOrEqual">
      <formula>0</formula>
    </cfRule>
    <cfRule type="cellIs" dxfId="1102" priority="195" operator="greaterThanOrEqual">
      <formula>0</formula>
    </cfRule>
    <cfRule type="cellIs" dxfId="1101" priority="194" operator="lessThan">
      <formula>0</formula>
    </cfRule>
    <cfRule type="cellIs" dxfId="1100" priority="193" operator="greaterThanOrEqual">
      <formula>0</formula>
    </cfRule>
    <cfRule type="cellIs" dxfId="1099" priority="192" operator="greaterThanOrEqual">
      <formula>0</formula>
    </cfRule>
    <cfRule type="cellIs" dxfId="1098" priority="191" operator="lessThan">
      <formula>0</formula>
    </cfRule>
    <cfRule type="cellIs" dxfId="1097" priority="190" operator="lessThan">
      <formula>0</formula>
    </cfRule>
    <cfRule type="cellIs" dxfId="1096" priority="189" operator="greaterThanOrEqual">
      <formula>0</formula>
    </cfRule>
    <cfRule type="cellIs" dxfId="1095" priority="188" operator="greaterThanOrEqual">
      <formula>0</formula>
    </cfRule>
    <cfRule type="cellIs" dxfId="1094" priority="187" operator="greaterThanOrEqual">
      <formula>0</formula>
    </cfRule>
    <cfRule type="cellIs" dxfId="1093" priority="186" operator="greaterThanOrEqual">
      <formula>0</formula>
    </cfRule>
    <cfRule type="cellIs" dxfId="1092" priority="185" operator="greaterThanOrEqual">
      <formula>0</formula>
    </cfRule>
    <cfRule type="cellIs" dxfId="1091" priority="140" operator="greaterThanOrEqual">
      <formula>0</formula>
    </cfRule>
    <cfRule type="cellIs" dxfId="1090" priority="139" operator="lessThan">
      <formula>0</formula>
    </cfRule>
    <cfRule type="cellIs" dxfId="1089" priority="138" operator="greaterThanOrEqual">
      <formula>0</formula>
    </cfRule>
    <cfRule type="cellIs" dxfId="1088" priority="137" operator="lessThan">
      <formula>0</formula>
    </cfRule>
    <cfRule type="cellIs" dxfId="1087" priority="136" operator="greaterThanOrEqual">
      <formula>0</formula>
    </cfRule>
    <cfRule type="cellIs" dxfId="1086" priority="135" operator="greaterThanOrEqual">
      <formula>0</formula>
    </cfRule>
    <cfRule type="cellIs" dxfId="1085" priority="134" operator="lessThan">
      <formula>0</formula>
    </cfRule>
    <cfRule type="cellIs" dxfId="1084" priority="133" operator="lessThan">
      <formula>0</formula>
    </cfRule>
    <cfRule type="cellIs" dxfId="1083" priority="132" operator="greaterThanOrEqual">
      <formula>0</formula>
    </cfRule>
    <cfRule type="cellIs" dxfId="1082" priority="131" operator="greaterThanOrEqual">
      <formula>0</formula>
    </cfRule>
    <cfRule type="cellIs" dxfId="1081" priority="130" operator="lessThan">
      <formula>0</formula>
    </cfRule>
    <cfRule type="cellIs" dxfId="1080" priority="129" operator="lessThan">
      <formula>0</formula>
    </cfRule>
    <cfRule type="cellIs" dxfId="1079" priority="128" operator="greaterThanOrEqual">
      <formula>0</formula>
    </cfRule>
    <cfRule type="cellIs" dxfId="1078" priority="127" operator="greaterThanOrEqual">
      <formula>0</formula>
    </cfRule>
    <cfRule type="cellIs" dxfId="1077" priority="126" operator="lessThan">
      <formula>0</formula>
    </cfRule>
    <cfRule type="cellIs" dxfId="1076" priority="125" operator="greaterThanOrEqual">
      <formula>0</formula>
    </cfRule>
    <cfRule type="cellIs" dxfId="1075" priority="124" operator="lessThan">
      <formula>0</formula>
    </cfRule>
    <cfRule type="cellIs" dxfId="1074" priority="123" operator="greaterThanOrEqual">
      <formula>0</formula>
    </cfRule>
    <cfRule type="cellIs" dxfId="1073" priority="122" operator="greaterThanOrEqual">
      <formula>0</formula>
    </cfRule>
    <cfRule type="cellIs" dxfId="1072" priority="121" operator="lessThan">
      <formula>0</formula>
    </cfRule>
    <cfRule type="cellIs" dxfId="1071" priority="120" operator="greaterThanOrEqual">
      <formula>0</formula>
    </cfRule>
    <cfRule type="cellIs" dxfId="1070" priority="119" operator="lessThan">
      <formula>0</formula>
    </cfRule>
    <cfRule type="cellIs" dxfId="1069" priority="118" operator="lessThan">
      <formula>0</formula>
    </cfRule>
    <cfRule type="cellIs" dxfId="1068" priority="117" operator="greaterThanOrEqual">
      <formula>0</formula>
    </cfRule>
    <cfRule type="cellIs" dxfId="1067" priority="116" operator="greaterThanOrEqual">
      <formula>0</formula>
    </cfRule>
    <cfRule type="cellIs" dxfId="1066" priority="115" operator="greaterThanOrEqual">
      <formula>0</formula>
    </cfRule>
    <cfRule type="cellIs" dxfId="1065" priority="114" operator="greaterThanOrEqual">
      <formula>0</formula>
    </cfRule>
    <cfRule type="cellIs" dxfId="1064" priority="113" operator="greaterThanOrEqual">
      <formula>0</formula>
    </cfRule>
    <cfRule type="cellIs" dxfId="1063" priority="68" operator="greaterThanOrEqual">
      <formula>0</formula>
    </cfRule>
    <cfRule type="cellIs" dxfId="1062" priority="67" operator="lessThan">
      <formula>0</formula>
    </cfRule>
    <cfRule type="cellIs" dxfId="1061" priority="66" operator="greaterThanOrEqual">
      <formula>0</formula>
    </cfRule>
    <cfRule type="cellIs" dxfId="1060" priority="65" operator="lessThan">
      <formula>0</formula>
    </cfRule>
    <cfRule type="cellIs" dxfId="1059" priority="64" operator="greaterThanOrEqual">
      <formula>0</formula>
    </cfRule>
    <cfRule type="cellIs" dxfId="1058" priority="63" operator="greaterThanOrEqual">
      <formula>0</formula>
    </cfRule>
    <cfRule type="cellIs" dxfId="1057" priority="62" operator="lessThan">
      <formula>0</formula>
    </cfRule>
    <cfRule type="cellIs" dxfId="1056" priority="61" operator="lessThan">
      <formula>0</formula>
    </cfRule>
    <cfRule type="cellIs" dxfId="1055" priority="60" operator="greaterThanOrEqual">
      <formula>0</formula>
    </cfRule>
    <cfRule type="cellIs" dxfId="1054" priority="59" operator="greaterThanOrEqual">
      <formula>0</formula>
    </cfRule>
    <cfRule type="cellIs" dxfId="1053" priority="58" operator="lessThan">
      <formula>0</formula>
    </cfRule>
    <cfRule type="cellIs" dxfId="1052" priority="57" operator="lessThan">
      <formula>0</formula>
    </cfRule>
    <cfRule type="cellIs" dxfId="1051" priority="56" operator="greaterThanOrEqual">
      <formula>0</formula>
    </cfRule>
    <cfRule type="cellIs" dxfId="1050" priority="55" operator="greaterThanOrEqual">
      <formula>0</formula>
    </cfRule>
    <cfRule type="cellIs" dxfId="1049" priority="54" operator="lessThan">
      <formula>0</formula>
    </cfRule>
    <cfRule type="cellIs" dxfId="1048" priority="53" operator="greaterThanOrEqual">
      <formula>0</formula>
    </cfRule>
    <cfRule type="cellIs" dxfId="1047" priority="52" operator="lessThan">
      <formula>0</formula>
    </cfRule>
    <cfRule type="cellIs" dxfId="1046" priority="51" operator="greaterThanOrEqual">
      <formula>0</formula>
    </cfRule>
    <cfRule type="cellIs" dxfId="1045" priority="50" operator="greaterThanOrEqual">
      <formula>0</formula>
    </cfRule>
    <cfRule type="cellIs" dxfId="1044" priority="49" operator="greaterThanOrEqual">
      <formula>0</formula>
    </cfRule>
    <cfRule type="cellIs" dxfId="1043" priority="48" operator="lessThan">
      <formula>0</formula>
    </cfRule>
    <cfRule type="cellIs" dxfId="1042" priority="47" operator="lessThan">
      <formula>0</formula>
    </cfRule>
    <cfRule type="cellIs" dxfId="1041" priority="46" operator="greaterThanOrEqual">
      <formula>0</formula>
    </cfRule>
    <cfRule type="cellIs" dxfId="1040" priority="45" operator="greaterThanOrEqual">
      <formula>0</formula>
    </cfRule>
  </conditionalFormatting>
  <conditionalFormatting sqref="A1:H1">
    <cfRule type="cellIs" dxfId="1039" priority="886" operator="lessThan">
      <formula>0</formula>
    </cfRule>
    <cfRule type="cellIs" dxfId="1038" priority="887" operator="lessThan">
      <formula>0</formula>
    </cfRule>
    <cfRule type="cellIs" priority="888" operator="greaterThanOrEqual">
      <formula>0</formula>
    </cfRule>
    <cfRule type="cellIs" priority="889" operator="greaterThanOrEqual">
      <formula>0</formula>
    </cfRule>
    <cfRule type="cellIs" priority="890" operator="greaterThanOrEqual">
      <formula>0</formula>
    </cfRule>
    <cfRule type="cellIs" dxfId="1037" priority="891" operator="lessThan">
      <formula>0</formula>
    </cfRule>
    <cfRule type="cellIs" dxfId="1036" priority="892" operator="lessThan">
      <formula>0</formula>
    </cfRule>
    <cfRule type="cellIs" dxfId="1035" priority="893" operator="lessThan">
      <formula>0</formula>
    </cfRule>
    <cfRule type="cellIs" dxfId="1034" priority="894" operator="lessThan">
      <formula>0</formula>
    </cfRule>
    <cfRule type="cellIs" dxfId="1033" priority="895" operator="lessThan">
      <formula>0</formula>
    </cfRule>
    <cfRule type="cellIs" priority="896" operator="greaterThanOrEqual">
      <formula>0</formula>
    </cfRule>
    <cfRule type="cellIs" dxfId="1032" priority="897" operator="lessThan">
      <formula>0</formula>
    </cfRule>
    <cfRule type="cellIs" priority="898" operator="greaterThanOrEqual">
      <formula>0</formula>
    </cfRule>
    <cfRule type="cellIs" priority="899" operator="greaterThanOrEqual">
      <formula>0</formula>
    </cfRule>
    <cfRule type="cellIs" priority="900" operator="greaterThanOrEqual">
      <formula>0</formula>
    </cfRule>
    <cfRule type="cellIs" dxfId="1031" priority="901" operator="lessThan">
      <formula>0</formula>
    </cfRule>
    <cfRule type="cellIs" priority="902" operator="greaterThanOrEqual">
      <formula>0</formula>
    </cfRule>
    <cfRule type="cellIs" priority="903" operator="greaterThanOrEqual">
      <formula>0</formula>
    </cfRule>
    <cfRule type="cellIs" priority="904" operator="greaterThanOrEqual">
      <formula>0</formula>
    </cfRule>
    <cfRule type="cellIs" priority="905" operator="greaterThanOrEqual">
      <formula>0</formula>
    </cfRule>
    <cfRule type="cellIs" dxfId="1030" priority="906" operator="lessThan">
      <formula>0</formula>
    </cfRule>
    <cfRule type="cellIs" dxfId="1029" priority="907" operator="lessThan">
      <formula>0</formula>
    </cfRule>
    <cfRule type="cellIs" dxfId="1028" priority="908" operator="lessThan">
      <formula>0</formula>
    </cfRule>
    <cfRule type="cellIs" dxfId="1027" priority="909" operator="lessThan">
      <formula>0</formula>
    </cfRule>
    <cfRule type="cellIs" dxfId="1026" priority="910" operator="lessThan">
      <formula>0</formula>
    </cfRule>
    <cfRule type="cellIs" priority="911" operator="greaterThanOrEqual">
      <formula>0</formula>
    </cfRule>
    <cfRule type="cellIs" dxfId="1025" priority="912" operator="lessThan">
      <formula>0</formula>
    </cfRule>
    <cfRule type="cellIs" priority="913" operator="greaterThanOrEqual">
      <formula>0</formula>
    </cfRule>
    <cfRule type="cellIs" priority="914" operator="greaterThanOrEqual">
      <formula>0</formula>
    </cfRule>
    <cfRule type="cellIs" priority="915" operator="greaterThanOrEqual">
      <formula>0</formula>
    </cfRule>
    <cfRule type="cellIs" dxfId="1024" priority="916" operator="lessThan">
      <formula>0</formula>
    </cfRule>
    <cfRule type="cellIs" priority="917" operator="greaterThanOrEqual">
      <formula>0</formula>
    </cfRule>
    <cfRule type="cellIs" dxfId="1023" priority="918" operator="lessThan">
      <formula>0</formula>
    </cfRule>
    <cfRule type="cellIs" dxfId="1022" priority="919" operator="lessThan">
      <formula>0</formula>
    </cfRule>
    <cfRule type="cellIs" dxfId="1021" priority="920" operator="lessThan">
      <formula>0</formula>
    </cfRule>
    <cfRule type="cellIs" priority="921" operator="greaterThanOrEqual">
      <formula>0</formula>
    </cfRule>
    <cfRule type="cellIs" dxfId="1020" priority="922" operator="lessThan">
      <formula>0</formula>
    </cfRule>
    <cfRule type="cellIs" priority="923" operator="greaterThanOrEqual">
      <formula>0</formula>
    </cfRule>
    <cfRule type="cellIs" dxfId="1019" priority="924" operator="lessThan">
      <formula>0</formula>
    </cfRule>
    <cfRule type="cellIs" priority="925" operator="greaterThanOrEqual">
      <formula>0</formula>
    </cfRule>
    <cfRule type="cellIs" dxfId="1018" priority="926" operator="lessThan">
      <formula>0</formula>
    </cfRule>
    <cfRule type="cellIs" priority="927" operator="greaterThanOrEqual">
      <formula>0</formula>
    </cfRule>
    <cfRule type="cellIs" dxfId="1017" priority="959" operator="lessThan">
      <formula>0</formula>
    </cfRule>
    <cfRule type="cellIs" dxfId="1016" priority="960" operator="lessThan">
      <formula>0</formula>
    </cfRule>
    <cfRule type="cellIs" priority="961" operator="greaterThanOrEqual">
      <formula>0</formula>
    </cfRule>
    <cfRule type="cellIs" priority="962" operator="greaterThanOrEqual">
      <formula>0</formula>
    </cfRule>
    <cfRule type="cellIs" priority="963" operator="greaterThanOrEqual">
      <formula>0</formula>
    </cfRule>
    <cfRule type="cellIs" dxfId="1015" priority="964" operator="lessThan">
      <formula>0</formula>
    </cfRule>
    <cfRule type="cellIs" dxfId="1014" priority="965" operator="lessThan">
      <formula>0</formula>
    </cfRule>
    <cfRule type="cellIs" dxfId="1013" priority="966" operator="lessThan">
      <formula>0</formula>
    </cfRule>
    <cfRule type="cellIs" dxfId="1012" priority="967" operator="lessThan">
      <formula>0</formula>
    </cfRule>
    <cfRule type="cellIs" dxfId="1011" priority="968" operator="lessThan">
      <formula>0</formula>
    </cfRule>
    <cfRule type="cellIs" priority="969" operator="greaterThanOrEqual">
      <formula>0</formula>
    </cfRule>
    <cfRule type="cellIs" dxfId="1010" priority="970" operator="lessThan">
      <formula>0</formula>
    </cfRule>
    <cfRule type="cellIs" priority="971" operator="greaterThanOrEqual">
      <formula>0</formula>
    </cfRule>
    <cfRule type="cellIs" priority="972" operator="greaterThanOrEqual">
      <formula>0</formula>
    </cfRule>
    <cfRule type="cellIs" priority="973" operator="greaterThanOrEqual">
      <formula>0</formula>
    </cfRule>
    <cfRule type="cellIs" dxfId="1009" priority="974" operator="lessThan">
      <formula>0</formula>
    </cfRule>
    <cfRule type="cellIs" priority="975" operator="greaterThanOrEqual">
      <formula>0</formula>
    </cfRule>
    <cfRule type="cellIs" priority="976" operator="greaterThanOrEqual">
      <formula>0</formula>
    </cfRule>
    <cfRule type="cellIs" priority="977" operator="greaterThanOrEqual">
      <formula>0</formula>
    </cfRule>
    <cfRule type="cellIs" priority="978" operator="greaterThanOrEqual">
      <formula>0</formula>
    </cfRule>
    <cfRule type="cellIs" dxfId="1008" priority="979" operator="lessThan">
      <formula>0</formula>
    </cfRule>
    <cfRule type="cellIs" dxfId="1007" priority="980" operator="lessThan">
      <formula>0</formula>
    </cfRule>
    <cfRule type="cellIs" dxfId="1006" priority="981" operator="lessThan">
      <formula>0</formula>
    </cfRule>
    <cfRule type="cellIs" dxfId="1005" priority="982" operator="lessThan">
      <formula>0</formula>
    </cfRule>
    <cfRule type="cellIs" dxfId="1004" priority="983" operator="lessThan">
      <formula>0</formula>
    </cfRule>
    <cfRule type="cellIs" priority="984" operator="greaterThanOrEqual">
      <formula>0</formula>
    </cfRule>
    <cfRule type="cellIs" dxfId="1003" priority="985" operator="lessThan">
      <formula>0</formula>
    </cfRule>
    <cfRule type="cellIs" priority="986" operator="greaterThanOrEqual">
      <formula>0</formula>
    </cfRule>
    <cfRule type="cellIs" priority="987" operator="greaterThanOrEqual">
      <formula>0</formula>
    </cfRule>
    <cfRule type="cellIs" priority="988" operator="greaterThanOrEqual">
      <formula>0</formula>
    </cfRule>
    <cfRule type="cellIs" dxfId="1002" priority="989" operator="lessThan">
      <formula>0</formula>
    </cfRule>
    <cfRule type="cellIs" dxfId="1001" priority="990" operator="lessThan">
      <formula>0</formula>
    </cfRule>
    <cfRule type="cellIs" dxfId="1000" priority="991" operator="lessThan">
      <formula>0</formula>
    </cfRule>
    <cfRule type="cellIs" dxfId="999" priority="992" operator="lessThan">
      <formula>0</formula>
    </cfRule>
    <cfRule type="cellIs" dxfId="998" priority="993" operator="lessThan">
      <formula>0</formula>
    </cfRule>
    <cfRule type="cellIs" dxfId="997" priority="994" operator="lessThan">
      <formula>0</formula>
    </cfRule>
    <cfRule type="cellIs" dxfId="996" priority="995" operator="lessThan">
      <formula>0</formula>
    </cfRule>
    <cfRule type="cellIs" priority="996" operator="greaterThanOrEqual">
      <formula>0</formula>
    </cfRule>
    <cfRule type="cellIs" priority="997" operator="greaterThanOrEqual">
      <formula>0</formula>
    </cfRule>
    <cfRule type="cellIs" priority="998" operator="greaterThanOrEqual">
      <formula>0</formula>
    </cfRule>
    <cfRule type="cellIs" priority="999" operator="greaterThanOrEqual">
      <formula>0</formula>
    </cfRule>
    <cfRule type="cellIs" priority="1000" operator="greaterThanOrEqual">
      <formula>0</formula>
    </cfRule>
    <cfRule type="cellIs" dxfId="995" priority="1032" operator="lessThan">
      <formula>0</formula>
    </cfRule>
    <cfRule type="cellIs" dxfId="994" priority="1033" operator="lessThan">
      <formula>0</formula>
    </cfRule>
    <cfRule type="cellIs" priority="1034" operator="greaterThanOrEqual">
      <formula>0</formula>
    </cfRule>
    <cfRule type="cellIs" priority="1035" operator="greaterThanOrEqual">
      <formula>0</formula>
    </cfRule>
    <cfRule type="cellIs" priority="1036" operator="greaterThanOrEqual">
      <formula>0</formula>
    </cfRule>
    <cfRule type="cellIs" dxfId="993" priority="1037" operator="lessThan">
      <formula>0</formula>
    </cfRule>
    <cfRule type="cellIs" dxfId="992" priority="1038" operator="lessThan">
      <formula>0</formula>
    </cfRule>
    <cfRule type="cellIs" dxfId="991" priority="1039" operator="lessThan">
      <formula>0</formula>
    </cfRule>
    <cfRule type="cellIs" dxfId="990" priority="1040" operator="lessThan">
      <formula>0</formula>
    </cfRule>
    <cfRule type="cellIs" dxfId="989" priority="1041" operator="lessThan">
      <formula>0</formula>
    </cfRule>
    <cfRule type="cellIs" priority="1042" operator="greaterThanOrEqual">
      <formula>0</formula>
    </cfRule>
    <cfRule type="cellIs" dxfId="988" priority="1043" operator="lessThan">
      <formula>0</formula>
    </cfRule>
    <cfRule type="cellIs" priority="1044" operator="greaterThanOrEqual">
      <formula>0</formula>
    </cfRule>
    <cfRule type="cellIs" priority="1045" operator="greaterThanOrEqual">
      <formula>0</formula>
    </cfRule>
    <cfRule type="cellIs" priority="1046" operator="greaterThanOrEqual">
      <formula>0</formula>
    </cfRule>
    <cfRule type="cellIs" dxfId="987" priority="1047" operator="lessThan">
      <formula>0</formula>
    </cfRule>
    <cfRule type="cellIs" priority="1048" operator="greaterThanOrEqual">
      <formula>0</formula>
    </cfRule>
    <cfRule type="cellIs" priority="1049" operator="greaterThanOrEqual">
      <formula>0</formula>
    </cfRule>
    <cfRule type="cellIs" priority="1050" operator="greaterThanOrEqual">
      <formula>0</formula>
    </cfRule>
    <cfRule type="cellIs" priority="1051" operator="greaterThanOrEqual">
      <formula>0</formula>
    </cfRule>
    <cfRule type="cellIs" dxfId="986" priority="1052" operator="lessThan">
      <formula>0</formula>
    </cfRule>
    <cfRule type="cellIs" dxfId="985" priority="1053" operator="lessThan">
      <formula>0</formula>
    </cfRule>
    <cfRule type="cellIs" dxfId="984" priority="1054" operator="lessThan">
      <formula>0</formula>
    </cfRule>
    <cfRule type="cellIs" dxfId="983" priority="1055" operator="lessThan">
      <formula>0</formula>
    </cfRule>
    <cfRule type="cellIs" dxfId="982" priority="1056" operator="lessThan">
      <formula>0</formula>
    </cfRule>
    <cfRule type="cellIs" priority="1057" operator="greaterThanOrEqual">
      <formula>0</formula>
    </cfRule>
    <cfRule type="cellIs" dxfId="981" priority="1058" operator="lessThan">
      <formula>0</formula>
    </cfRule>
    <cfRule type="cellIs" priority="1059" operator="greaterThanOrEqual">
      <formula>0</formula>
    </cfRule>
    <cfRule type="cellIs" priority="1060" operator="greaterThanOrEqual">
      <formula>0</formula>
    </cfRule>
    <cfRule type="cellIs" priority="1061" operator="greaterThanOrEqual">
      <formula>0</formula>
    </cfRule>
    <cfRule type="cellIs" priority="1062" operator="greaterThanOrEqual">
      <formula>0</formula>
    </cfRule>
    <cfRule type="cellIs" dxfId="980" priority="1063" operator="lessThan">
      <formula>0</formula>
    </cfRule>
    <cfRule type="cellIs" dxfId="979" priority="1064" operator="lessThan">
      <formula>0</formula>
    </cfRule>
    <cfRule type="cellIs" dxfId="978" priority="1065" operator="lessThan">
      <formula>0</formula>
    </cfRule>
    <cfRule type="cellIs" dxfId="977" priority="1066" operator="lessThan">
      <formula>0</formula>
    </cfRule>
    <cfRule type="cellIs" priority="1067" operator="greaterThanOrEqual">
      <formula>0</formula>
    </cfRule>
    <cfRule type="cellIs" dxfId="976" priority="1068" operator="lessThan">
      <formula>0</formula>
    </cfRule>
    <cfRule type="cellIs" priority="1069" operator="greaterThanOrEqual">
      <formula>0</formula>
    </cfRule>
    <cfRule type="cellIs" priority="1070" operator="greaterThanOrEqual">
      <formula>0</formula>
    </cfRule>
    <cfRule type="cellIs" dxfId="975" priority="1071" operator="lessThan">
      <formula>0</formula>
    </cfRule>
    <cfRule type="cellIs" dxfId="974" priority="1072" operator="lessThan">
      <formula>0</formula>
    </cfRule>
    <cfRule type="cellIs" priority="1073" operator="greaterThanOrEqual">
      <formula>0</formula>
    </cfRule>
    <cfRule type="cellIs" dxfId="973" priority="1105" operator="lessThan">
      <formula>0</formula>
    </cfRule>
    <cfRule type="cellIs" dxfId="972" priority="1106" operator="lessThan">
      <formula>0</formula>
    </cfRule>
    <cfRule type="cellIs" priority="1107" operator="greaterThanOrEqual">
      <formula>0</formula>
    </cfRule>
    <cfRule type="cellIs" priority="1108" operator="greaterThanOrEqual">
      <formula>0</formula>
    </cfRule>
    <cfRule type="cellIs" priority="1109" operator="greaterThanOrEqual">
      <formula>0</formula>
    </cfRule>
    <cfRule type="cellIs" dxfId="971" priority="1110" operator="lessThan">
      <formula>0</formula>
    </cfRule>
    <cfRule type="cellIs" dxfId="970" priority="1111" operator="lessThan">
      <formula>0</formula>
    </cfRule>
    <cfRule type="cellIs" dxfId="969" priority="1112" operator="lessThan">
      <formula>0</formula>
    </cfRule>
    <cfRule type="cellIs" dxfId="968" priority="1113" operator="lessThan">
      <formula>0</formula>
    </cfRule>
    <cfRule type="cellIs" dxfId="967" priority="1114" operator="lessThan">
      <formula>0</formula>
    </cfRule>
    <cfRule type="cellIs" priority="1115" operator="greaterThanOrEqual">
      <formula>0</formula>
    </cfRule>
    <cfRule type="cellIs" dxfId="966" priority="1116" operator="lessThan">
      <formula>0</formula>
    </cfRule>
    <cfRule type="cellIs" priority="1117" operator="greaterThanOrEqual">
      <formula>0</formula>
    </cfRule>
    <cfRule type="cellIs" priority="1118" operator="greaterThanOrEqual">
      <formula>0</formula>
    </cfRule>
    <cfRule type="cellIs" priority="1119" operator="greaterThanOrEqual">
      <formula>0</formula>
    </cfRule>
    <cfRule type="cellIs" dxfId="965" priority="1120" operator="lessThan">
      <formula>0</formula>
    </cfRule>
    <cfRule type="cellIs" priority="1121" operator="greaterThanOrEqual">
      <formula>0</formula>
    </cfRule>
    <cfRule type="cellIs" priority="1122" operator="greaterThanOrEqual">
      <formula>0</formula>
    </cfRule>
    <cfRule type="cellIs" priority="1123" operator="greaterThanOrEqual">
      <formula>0</formula>
    </cfRule>
    <cfRule type="cellIs" priority="1124" operator="greaterThanOrEqual">
      <formula>0</formula>
    </cfRule>
    <cfRule type="cellIs" dxfId="964" priority="1125" operator="lessThan">
      <formula>0</formula>
    </cfRule>
    <cfRule type="cellIs" dxfId="963" priority="1126" operator="lessThan">
      <formula>0</formula>
    </cfRule>
    <cfRule type="cellIs" dxfId="962" priority="1127" operator="lessThan">
      <formula>0</formula>
    </cfRule>
    <cfRule type="cellIs" dxfId="961" priority="1128" operator="lessThan">
      <formula>0</formula>
    </cfRule>
    <cfRule type="cellIs" dxfId="960" priority="1129" operator="lessThan">
      <formula>0</formula>
    </cfRule>
    <cfRule type="cellIs" priority="1130" operator="greaterThanOrEqual">
      <formula>0</formula>
    </cfRule>
    <cfRule type="cellIs" dxfId="959" priority="1131" operator="lessThan">
      <formula>0</formula>
    </cfRule>
    <cfRule type="cellIs" priority="1132" operator="greaterThanOrEqual">
      <formula>0</formula>
    </cfRule>
    <cfRule type="cellIs" priority="1133" operator="greaterThanOrEqual">
      <formula>0</formula>
    </cfRule>
    <cfRule type="cellIs" priority="1134" operator="greaterThanOrEqual">
      <formula>0</formula>
    </cfRule>
    <cfRule type="cellIs" priority="1135" operator="greaterThanOrEqual">
      <formula>0</formula>
    </cfRule>
    <cfRule type="cellIs" dxfId="958" priority="1136" operator="lessThan">
      <formula>0</formula>
    </cfRule>
    <cfRule type="cellIs" dxfId="957" priority="1137" operator="lessThan">
      <formula>0</formula>
    </cfRule>
    <cfRule type="cellIs" dxfId="956" priority="1138" operator="lessThan">
      <formula>0</formula>
    </cfRule>
    <cfRule type="cellIs" dxfId="955" priority="1139" operator="lessThan">
      <formula>0</formula>
    </cfRule>
    <cfRule type="cellIs" priority="1140" operator="greaterThanOrEqual">
      <formula>0</formula>
    </cfRule>
    <cfRule type="cellIs" dxfId="954" priority="1141" operator="lessThan">
      <formula>0</formula>
    </cfRule>
    <cfRule type="cellIs" priority="1142" operator="greaterThanOrEqual">
      <formula>0</formula>
    </cfRule>
    <cfRule type="cellIs" priority="1143" operator="greaterThanOrEqual">
      <formula>0</formula>
    </cfRule>
    <cfRule type="cellIs" dxfId="953" priority="1144" operator="lessThan">
      <formula>0</formula>
    </cfRule>
    <cfRule type="cellIs" dxfId="952" priority="1145" operator="lessThan">
      <formula>0</formula>
    </cfRule>
    <cfRule type="cellIs" priority="1146" operator="greaterThanOrEqual">
      <formula>0</formula>
    </cfRule>
    <cfRule type="cellIs" dxfId="951" priority="1178" operator="lessThan">
      <formula>0</formula>
    </cfRule>
    <cfRule type="cellIs" dxfId="950" priority="1179" operator="lessThan">
      <formula>0</formula>
    </cfRule>
    <cfRule type="cellIs" priority="1180" operator="greaterThanOrEqual">
      <formula>0</formula>
    </cfRule>
    <cfRule type="cellIs" priority="1181" operator="greaterThanOrEqual">
      <formula>0</formula>
    </cfRule>
    <cfRule type="cellIs" priority="1182" operator="greaterThanOrEqual">
      <formula>0</formula>
    </cfRule>
    <cfRule type="cellIs" dxfId="949" priority="1183" operator="lessThan">
      <formula>0</formula>
    </cfRule>
    <cfRule type="cellIs" dxfId="948" priority="1184" operator="lessThan">
      <formula>0</formula>
    </cfRule>
    <cfRule type="cellIs" dxfId="947" priority="1185" operator="lessThan">
      <formula>0</formula>
    </cfRule>
    <cfRule type="cellIs" dxfId="946" priority="1186" operator="lessThan">
      <formula>0</formula>
    </cfRule>
    <cfRule type="cellIs" dxfId="945" priority="1187" operator="lessThan">
      <formula>0</formula>
    </cfRule>
    <cfRule type="cellIs" priority="1188" operator="greaterThanOrEqual">
      <formula>0</formula>
    </cfRule>
    <cfRule type="cellIs" dxfId="944" priority="1189" operator="lessThan">
      <formula>0</formula>
    </cfRule>
    <cfRule type="cellIs" priority="1190" operator="greaterThanOrEqual">
      <formula>0</formula>
    </cfRule>
    <cfRule type="cellIs" priority="1191" operator="greaterThanOrEqual">
      <formula>0</formula>
    </cfRule>
    <cfRule type="cellIs" priority="1192" operator="greaterThanOrEqual">
      <formula>0</formula>
    </cfRule>
    <cfRule type="cellIs" dxfId="943" priority="1193" operator="lessThan">
      <formula>0</formula>
    </cfRule>
    <cfRule type="cellIs" priority="1194" operator="greaterThanOrEqual">
      <formula>0</formula>
    </cfRule>
    <cfRule type="cellIs" priority="1195" operator="greaterThanOrEqual">
      <formula>0</formula>
    </cfRule>
    <cfRule type="cellIs" priority="1196" operator="greaterThanOrEqual">
      <formula>0</formula>
    </cfRule>
    <cfRule type="cellIs" priority="1197" operator="greaterThanOrEqual">
      <formula>0</formula>
    </cfRule>
    <cfRule type="cellIs" dxfId="942" priority="1198" operator="lessThan">
      <formula>0</formula>
    </cfRule>
    <cfRule type="cellIs" dxfId="941" priority="1199" operator="lessThan">
      <formula>0</formula>
    </cfRule>
    <cfRule type="cellIs" dxfId="940" priority="1200" operator="lessThan">
      <formula>0</formula>
    </cfRule>
    <cfRule type="cellIs" dxfId="939" priority="1201" operator="lessThan">
      <formula>0</formula>
    </cfRule>
    <cfRule type="cellIs" dxfId="938" priority="1202" operator="lessThan">
      <formula>0</formula>
    </cfRule>
    <cfRule type="cellIs" priority="1203" operator="greaterThanOrEqual">
      <formula>0</formula>
    </cfRule>
    <cfRule type="cellIs" dxfId="937" priority="1204" operator="lessThan">
      <formula>0</formula>
    </cfRule>
    <cfRule type="cellIs" priority="1205" operator="greaterThanOrEqual">
      <formula>0</formula>
    </cfRule>
    <cfRule type="cellIs" priority="1206" operator="greaterThanOrEqual">
      <formula>0</formula>
    </cfRule>
    <cfRule type="cellIs" priority="1207" operator="greaterThanOrEqual">
      <formula>0</formula>
    </cfRule>
    <cfRule type="cellIs" priority="1208" operator="greaterThanOrEqual">
      <formula>0</formula>
    </cfRule>
    <cfRule type="cellIs" dxfId="936" priority="1209" operator="lessThan">
      <formula>0</formula>
    </cfRule>
    <cfRule type="cellIs" dxfId="935" priority="1210" operator="lessThan">
      <formula>0</formula>
    </cfRule>
    <cfRule type="cellIs" dxfId="934" priority="1211" operator="lessThan">
      <formula>0</formula>
    </cfRule>
    <cfRule type="cellIs" dxfId="933" priority="1212" operator="lessThan">
      <formula>0</formula>
    </cfRule>
    <cfRule type="cellIs" priority="1213" operator="greaterThanOrEqual">
      <formula>0</formula>
    </cfRule>
    <cfRule type="cellIs" dxfId="932" priority="1214" operator="lessThan">
      <formula>0</formula>
    </cfRule>
    <cfRule type="cellIs" priority="1215" operator="greaterThanOrEqual">
      <formula>0</formula>
    </cfRule>
    <cfRule type="cellIs" priority="1216" operator="greaterThanOrEqual">
      <formula>0</formula>
    </cfRule>
    <cfRule type="cellIs" dxfId="931" priority="1217" operator="lessThan">
      <formula>0</formula>
    </cfRule>
    <cfRule type="cellIs" dxfId="930" priority="1218" operator="lessThan">
      <formula>0</formula>
    </cfRule>
    <cfRule type="cellIs" priority="1219" operator="greaterThanOrEqual">
      <formula>0</formula>
    </cfRule>
    <cfRule type="cellIs" dxfId="929" priority="1231" operator="lessThan">
      <formula>0</formula>
    </cfRule>
    <cfRule type="cellIs" dxfId="928" priority="1232" operator="lessThan">
      <formula>0</formula>
    </cfRule>
    <cfRule type="cellIs" priority="1233" operator="greaterThanOrEqual">
      <formula>0</formula>
    </cfRule>
    <cfRule type="cellIs" priority="1234" operator="greaterThanOrEqual">
      <formula>0</formula>
    </cfRule>
    <cfRule type="cellIs" priority="1235" operator="greaterThanOrEqual">
      <formula>0</formula>
    </cfRule>
    <cfRule type="cellIs" dxfId="927" priority="1236" operator="lessThan">
      <formula>0</formula>
    </cfRule>
    <cfRule type="cellIs" dxfId="926" priority="1237" operator="lessThan">
      <formula>0</formula>
    </cfRule>
    <cfRule type="cellIs" dxfId="925" priority="1238" operator="lessThan">
      <formula>0</formula>
    </cfRule>
    <cfRule type="cellIs" dxfId="924" priority="1239" operator="lessThan">
      <formula>0</formula>
    </cfRule>
    <cfRule type="cellIs" dxfId="923" priority="1240" operator="lessThan">
      <formula>0</formula>
    </cfRule>
    <cfRule type="cellIs" priority="1241" operator="greaterThanOrEqual">
      <formula>0</formula>
    </cfRule>
    <cfRule type="cellIs" dxfId="922" priority="1242" operator="lessThan">
      <formula>0</formula>
    </cfRule>
    <cfRule type="cellIs" priority="1243" operator="greaterThanOrEqual">
      <formula>0</formula>
    </cfRule>
    <cfRule type="cellIs" priority="1244" operator="greaterThanOrEqual">
      <formula>0</formula>
    </cfRule>
    <cfRule type="cellIs" priority="1245" operator="greaterThanOrEqual">
      <formula>0</formula>
    </cfRule>
    <cfRule type="cellIs" dxfId="921" priority="1246" operator="lessThan">
      <formula>0</formula>
    </cfRule>
    <cfRule type="cellIs" priority="1247" operator="greaterThanOrEqual">
      <formula>0</formula>
    </cfRule>
    <cfRule type="cellIs" priority="1248" operator="greaterThanOrEqual">
      <formula>0</formula>
    </cfRule>
    <cfRule type="cellIs" priority="1249" operator="greaterThanOrEqual">
      <formula>0</formula>
    </cfRule>
    <cfRule type="cellIs" priority="1250" operator="greaterThanOrEqual">
      <formula>0</formula>
    </cfRule>
    <cfRule type="cellIs" dxfId="920" priority="1251" operator="lessThan">
      <formula>0</formula>
    </cfRule>
    <cfRule type="cellIs" dxfId="919" priority="1252" operator="lessThan">
      <formula>0</formula>
    </cfRule>
    <cfRule type="cellIs" dxfId="918" priority="1253" operator="lessThan">
      <formula>0</formula>
    </cfRule>
    <cfRule type="cellIs" dxfId="917" priority="1254" operator="lessThan">
      <formula>0</formula>
    </cfRule>
    <cfRule type="cellIs" dxfId="916" priority="1255" operator="lessThan">
      <formula>0</formula>
    </cfRule>
    <cfRule type="cellIs" priority="1256" operator="greaterThanOrEqual">
      <formula>0</formula>
    </cfRule>
    <cfRule type="cellIs" dxfId="915" priority="1257" operator="lessThan">
      <formula>0</formula>
    </cfRule>
    <cfRule type="cellIs" priority="1258" operator="greaterThanOrEqual">
      <formula>0</formula>
    </cfRule>
    <cfRule type="cellIs" priority="1259" operator="greaterThanOrEqual">
      <formula>0</formula>
    </cfRule>
    <cfRule type="cellIs" priority="1260" operator="greaterThanOrEqual">
      <formula>0</formula>
    </cfRule>
    <cfRule type="cellIs" priority="1261" operator="greaterThanOrEqual">
      <formula>0</formula>
    </cfRule>
    <cfRule type="cellIs" dxfId="914" priority="1262" operator="lessThan">
      <formula>0</formula>
    </cfRule>
    <cfRule type="cellIs" dxfId="913" priority="1263" operator="lessThan">
      <formula>0</formula>
    </cfRule>
    <cfRule type="cellIs" dxfId="912" priority="1264" operator="lessThan">
      <formula>0</formula>
    </cfRule>
    <cfRule type="cellIs" dxfId="911" priority="1265" operator="lessThan">
      <formula>0</formula>
    </cfRule>
    <cfRule type="cellIs" priority="1266" operator="greaterThanOrEqual">
      <formula>0</formula>
    </cfRule>
    <cfRule type="cellIs" dxfId="910" priority="1267" operator="lessThan">
      <formula>0</formula>
    </cfRule>
    <cfRule type="cellIs" priority="1268" operator="greaterThanOrEqual">
      <formula>0</formula>
    </cfRule>
    <cfRule type="cellIs" priority="1269" operator="greaterThanOrEqual">
      <formula>0</formula>
    </cfRule>
    <cfRule type="cellIs" dxfId="909" priority="1270" operator="lessThan">
      <formula>0</formula>
    </cfRule>
    <cfRule type="cellIs" dxfId="908" priority="1271" operator="lessThan">
      <formula>0</formula>
    </cfRule>
    <cfRule type="cellIs" priority="1272" operator="greaterThanOrEqual">
      <formula>0</formula>
    </cfRule>
    <cfRule type="cellIs" dxfId="907" priority="1284" operator="lessThan">
      <formula>0</formula>
    </cfRule>
    <cfRule type="cellIs" dxfId="906" priority="1285" operator="lessThan">
      <formula>0</formula>
    </cfRule>
    <cfRule type="cellIs" priority="1286" operator="greaterThanOrEqual">
      <formula>0</formula>
    </cfRule>
    <cfRule type="cellIs" priority="1287" operator="greaterThanOrEqual">
      <formula>0</formula>
    </cfRule>
    <cfRule type="cellIs" priority="1288" operator="greaterThanOrEqual">
      <formula>0</formula>
    </cfRule>
    <cfRule type="cellIs" dxfId="905" priority="1289" operator="lessThan">
      <formula>0</formula>
    </cfRule>
    <cfRule type="cellIs" dxfId="904" priority="1290" operator="lessThan">
      <formula>0</formula>
    </cfRule>
    <cfRule type="cellIs" dxfId="903" priority="1291" operator="lessThan">
      <formula>0</formula>
    </cfRule>
    <cfRule type="cellIs" dxfId="902" priority="1292" operator="lessThan">
      <formula>0</formula>
    </cfRule>
    <cfRule type="cellIs" dxfId="901" priority="1293" operator="lessThan">
      <formula>0</formula>
    </cfRule>
    <cfRule type="cellIs" priority="1294" operator="greaterThanOrEqual">
      <formula>0</formula>
    </cfRule>
    <cfRule type="cellIs" dxfId="900" priority="1295" operator="lessThan">
      <formula>0</formula>
    </cfRule>
    <cfRule type="cellIs" priority="1296" operator="greaterThanOrEqual">
      <formula>0</formula>
    </cfRule>
    <cfRule type="cellIs" priority="1297" operator="greaterThanOrEqual">
      <formula>0</formula>
    </cfRule>
    <cfRule type="cellIs" priority="1298" operator="greaterThanOrEqual">
      <formula>0</formula>
    </cfRule>
    <cfRule type="cellIs" dxfId="899" priority="1299" operator="lessThan">
      <formula>0</formula>
    </cfRule>
    <cfRule type="cellIs" priority="1300" operator="greaterThanOrEqual">
      <formula>0</formula>
    </cfRule>
    <cfRule type="cellIs" priority="1301" operator="greaterThanOrEqual">
      <formula>0</formula>
    </cfRule>
    <cfRule type="cellIs" priority="1302" operator="greaterThanOrEqual">
      <formula>0</formula>
    </cfRule>
    <cfRule type="cellIs" priority="1303" operator="greaterThanOrEqual">
      <formula>0</formula>
    </cfRule>
    <cfRule type="cellIs" dxfId="898" priority="1304" operator="lessThan">
      <formula>0</formula>
    </cfRule>
    <cfRule type="cellIs" dxfId="897" priority="1305" operator="lessThan">
      <formula>0</formula>
    </cfRule>
    <cfRule type="cellIs" dxfId="896" priority="1306" operator="lessThan">
      <formula>0</formula>
    </cfRule>
    <cfRule type="cellIs" dxfId="895" priority="1307" operator="lessThan">
      <formula>0</formula>
    </cfRule>
    <cfRule type="cellIs" dxfId="894" priority="1308" operator="lessThan">
      <formula>0</formula>
    </cfRule>
    <cfRule type="cellIs" priority="1309" operator="greaterThanOrEqual">
      <formula>0</formula>
    </cfRule>
    <cfRule type="cellIs" dxfId="893" priority="1310" operator="lessThan">
      <formula>0</formula>
    </cfRule>
    <cfRule type="cellIs" priority="1311" operator="greaterThanOrEqual">
      <formula>0</formula>
    </cfRule>
    <cfRule type="cellIs" priority="1312" operator="greaterThanOrEqual">
      <formula>0</formula>
    </cfRule>
    <cfRule type="cellIs" priority="1313" operator="greaterThanOrEqual">
      <formula>0</formula>
    </cfRule>
    <cfRule type="cellIs" priority="1314" operator="greaterThanOrEqual">
      <formula>0</formula>
    </cfRule>
    <cfRule type="cellIs" dxfId="892" priority="1315" operator="lessThan">
      <formula>0</formula>
    </cfRule>
    <cfRule type="cellIs" dxfId="891" priority="1316" operator="lessThan">
      <formula>0</formula>
    </cfRule>
    <cfRule type="cellIs" dxfId="890" priority="1317" operator="lessThan">
      <formula>0</formula>
    </cfRule>
    <cfRule type="cellIs" dxfId="889" priority="1318" operator="lessThan">
      <formula>0</formula>
    </cfRule>
    <cfRule type="cellIs" priority="1319" operator="greaterThanOrEqual">
      <formula>0</formula>
    </cfRule>
    <cfRule type="cellIs" dxfId="888" priority="1320" operator="lessThan">
      <formula>0</formula>
    </cfRule>
    <cfRule type="cellIs" priority="1321" operator="greaterThanOrEqual">
      <formula>0</formula>
    </cfRule>
    <cfRule type="cellIs" priority="1322" operator="greaterThanOrEqual">
      <formula>0</formula>
    </cfRule>
    <cfRule type="cellIs" dxfId="887" priority="1323" operator="lessThan">
      <formula>0</formula>
    </cfRule>
    <cfRule type="cellIs" dxfId="886" priority="1324" operator="lessThan">
      <formula>0</formula>
    </cfRule>
    <cfRule type="cellIs" priority="1325" operator="greaterThanOrEqual">
      <formula>0</formula>
    </cfRule>
    <cfRule type="cellIs" dxfId="885" priority="1337" operator="lessThan">
      <formula>0</formula>
    </cfRule>
    <cfRule type="cellIs" dxfId="884" priority="1338" operator="lessThan">
      <formula>0</formula>
    </cfRule>
    <cfRule type="cellIs" priority="1339" operator="greaterThanOrEqual">
      <formula>0</formula>
    </cfRule>
    <cfRule type="cellIs" priority="1340" operator="greaterThanOrEqual">
      <formula>0</formula>
    </cfRule>
    <cfRule type="cellIs" priority="1341" operator="greaterThanOrEqual">
      <formula>0</formula>
    </cfRule>
    <cfRule type="cellIs" dxfId="883" priority="1342" operator="lessThan">
      <formula>0</formula>
    </cfRule>
    <cfRule type="cellIs" dxfId="882" priority="1343" operator="lessThan">
      <formula>0</formula>
    </cfRule>
    <cfRule type="cellIs" dxfId="881" priority="1344" operator="lessThan">
      <formula>0</formula>
    </cfRule>
    <cfRule type="cellIs" dxfId="880" priority="1345" operator="lessThan">
      <formula>0</formula>
    </cfRule>
    <cfRule type="cellIs" dxfId="879" priority="1346" operator="lessThan">
      <formula>0</formula>
    </cfRule>
    <cfRule type="cellIs" priority="1347" operator="greaterThanOrEqual">
      <formula>0</formula>
    </cfRule>
    <cfRule type="cellIs" dxfId="878" priority="1348" operator="lessThan">
      <formula>0</formula>
    </cfRule>
    <cfRule type="cellIs" priority="1349" operator="greaterThanOrEqual">
      <formula>0</formula>
    </cfRule>
    <cfRule type="cellIs" priority="1350" operator="greaterThanOrEqual">
      <formula>0</formula>
    </cfRule>
    <cfRule type="cellIs" priority="1351" operator="greaterThanOrEqual">
      <formula>0</formula>
    </cfRule>
    <cfRule type="cellIs" dxfId="877" priority="1352" operator="lessThan">
      <formula>0</formula>
    </cfRule>
    <cfRule type="cellIs" priority="1353" operator="greaterThanOrEqual">
      <formula>0</formula>
    </cfRule>
    <cfRule type="cellIs" priority="1354" operator="greaterThanOrEqual">
      <formula>0</formula>
    </cfRule>
    <cfRule type="cellIs" priority="1355" operator="greaterThanOrEqual">
      <formula>0</formula>
    </cfRule>
    <cfRule type="cellIs" priority="1356" operator="greaterThanOrEqual">
      <formula>0</formula>
    </cfRule>
    <cfRule type="cellIs" dxfId="876" priority="1357" operator="lessThan">
      <formula>0</formula>
    </cfRule>
    <cfRule type="cellIs" dxfId="875" priority="1358" operator="lessThan">
      <formula>0</formula>
    </cfRule>
    <cfRule type="cellIs" dxfId="874" priority="1359" operator="lessThan">
      <formula>0</formula>
    </cfRule>
    <cfRule type="cellIs" dxfId="873" priority="1360" operator="lessThan">
      <formula>0</formula>
    </cfRule>
    <cfRule type="cellIs" dxfId="872" priority="1361" operator="lessThan">
      <formula>0</formula>
    </cfRule>
    <cfRule type="cellIs" priority="1362" operator="greaterThanOrEqual">
      <formula>0</formula>
    </cfRule>
    <cfRule type="cellIs" dxfId="871" priority="1363" operator="lessThan">
      <formula>0</formula>
    </cfRule>
    <cfRule type="cellIs" priority="1364" operator="greaterThanOrEqual">
      <formula>0</formula>
    </cfRule>
    <cfRule type="cellIs" priority="1365" operator="greaterThanOrEqual">
      <formula>0</formula>
    </cfRule>
    <cfRule type="cellIs" priority="1366" operator="greaterThanOrEqual">
      <formula>0</formula>
    </cfRule>
    <cfRule type="cellIs" priority="1367" operator="greaterThanOrEqual">
      <formula>0</formula>
    </cfRule>
    <cfRule type="cellIs" dxfId="870" priority="1368" operator="lessThan">
      <formula>0</formula>
    </cfRule>
    <cfRule type="cellIs" dxfId="869" priority="1369" operator="lessThan">
      <formula>0</formula>
    </cfRule>
    <cfRule type="cellIs" dxfId="868" priority="1370" operator="lessThan">
      <formula>0</formula>
    </cfRule>
    <cfRule type="cellIs" dxfId="867" priority="1371" operator="lessThan">
      <formula>0</formula>
    </cfRule>
    <cfRule type="cellIs" priority="1372" operator="greaterThanOrEqual">
      <formula>0</formula>
    </cfRule>
    <cfRule type="cellIs" dxfId="866" priority="1373" operator="lessThan">
      <formula>0</formula>
    </cfRule>
    <cfRule type="cellIs" priority="1374" operator="greaterThanOrEqual">
      <formula>0</formula>
    </cfRule>
    <cfRule type="cellIs" priority="1375" operator="greaterThanOrEqual">
      <formula>0</formula>
    </cfRule>
    <cfRule type="cellIs" dxfId="865" priority="1376" operator="lessThan">
      <formula>0</formula>
    </cfRule>
    <cfRule type="cellIs" dxfId="864" priority="1377" operator="lessThan">
      <formula>0</formula>
    </cfRule>
    <cfRule type="cellIs" priority="1378" operator="greaterThanOrEqual">
      <formula>0</formula>
    </cfRule>
    <cfRule type="cellIs" dxfId="863" priority="1390" operator="lessThan">
      <formula>0</formula>
    </cfRule>
    <cfRule type="cellIs" dxfId="862" priority="1391" operator="lessThan">
      <formula>0</formula>
    </cfRule>
    <cfRule type="cellIs" priority="1392" operator="greaterThanOrEqual">
      <formula>0</formula>
    </cfRule>
    <cfRule type="cellIs" priority="1393" operator="greaterThanOrEqual">
      <formula>0</formula>
    </cfRule>
    <cfRule type="cellIs" priority="1394" operator="greaterThanOrEqual">
      <formula>0</formula>
    </cfRule>
    <cfRule type="cellIs" dxfId="861" priority="1395" operator="lessThan">
      <formula>0</formula>
    </cfRule>
    <cfRule type="cellIs" dxfId="860" priority="1396" operator="lessThan">
      <formula>0</formula>
    </cfRule>
    <cfRule type="cellIs" dxfId="859" priority="1397" operator="lessThan">
      <formula>0</formula>
    </cfRule>
    <cfRule type="cellIs" dxfId="858" priority="1398" operator="lessThan">
      <formula>0</formula>
    </cfRule>
    <cfRule type="cellIs" dxfId="857" priority="1399" operator="lessThan">
      <formula>0</formula>
    </cfRule>
    <cfRule type="cellIs" priority="1400" operator="greaterThanOrEqual">
      <formula>0</formula>
    </cfRule>
    <cfRule type="cellIs" dxfId="856" priority="1401" operator="lessThan">
      <formula>0</formula>
    </cfRule>
    <cfRule type="cellIs" priority="1402" operator="greaterThanOrEqual">
      <formula>0</formula>
    </cfRule>
    <cfRule type="cellIs" priority="1403" operator="greaterThanOrEqual">
      <formula>0</formula>
    </cfRule>
    <cfRule type="cellIs" priority="1404" operator="greaterThanOrEqual">
      <formula>0</formula>
    </cfRule>
    <cfRule type="cellIs" dxfId="855" priority="1405" operator="lessThan">
      <formula>0</formula>
    </cfRule>
    <cfRule type="cellIs" priority="1406" operator="greaterThanOrEqual">
      <formula>0</formula>
    </cfRule>
    <cfRule type="cellIs" priority="1407" operator="greaterThanOrEqual">
      <formula>0</formula>
    </cfRule>
    <cfRule type="cellIs" priority="1408" operator="greaterThanOrEqual">
      <formula>0</formula>
    </cfRule>
    <cfRule type="cellIs" priority="1409" operator="greaterThanOrEqual">
      <formula>0</formula>
    </cfRule>
    <cfRule type="cellIs" dxfId="854" priority="1410" operator="lessThan">
      <formula>0</formula>
    </cfRule>
    <cfRule type="cellIs" dxfId="853" priority="1411" operator="lessThan">
      <formula>0</formula>
    </cfRule>
    <cfRule type="cellIs" dxfId="852" priority="1412" operator="lessThan">
      <formula>0</formula>
    </cfRule>
    <cfRule type="cellIs" dxfId="851" priority="1413" operator="lessThan">
      <formula>0</formula>
    </cfRule>
    <cfRule type="cellIs" dxfId="850" priority="1414" operator="lessThan">
      <formula>0</formula>
    </cfRule>
    <cfRule type="cellIs" priority="1415" operator="greaterThanOrEqual">
      <formula>0</formula>
    </cfRule>
    <cfRule type="cellIs" dxfId="849" priority="1416" operator="lessThan">
      <formula>0</formula>
    </cfRule>
    <cfRule type="cellIs" priority="1417" operator="greaterThanOrEqual">
      <formula>0</formula>
    </cfRule>
    <cfRule type="cellIs" priority="1418" operator="greaterThanOrEqual">
      <formula>0</formula>
    </cfRule>
    <cfRule type="cellIs" priority="1419" operator="greaterThanOrEqual">
      <formula>0</formula>
    </cfRule>
    <cfRule type="cellIs" priority="1420" operator="greaterThanOrEqual">
      <formula>0</formula>
    </cfRule>
    <cfRule type="cellIs" dxfId="848" priority="1421" operator="lessThan">
      <formula>0</formula>
    </cfRule>
    <cfRule type="cellIs" dxfId="847" priority="1422" operator="lessThan">
      <formula>0</formula>
    </cfRule>
    <cfRule type="cellIs" dxfId="846" priority="1423" operator="lessThan">
      <formula>0</formula>
    </cfRule>
    <cfRule type="cellIs" dxfId="845" priority="1424" operator="lessThan">
      <formula>0</formula>
    </cfRule>
    <cfRule type="cellIs" priority="1425" operator="greaterThanOrEqual">
      <formula>0</formula>
    </cfRule>
    <cfRule type="cellIs" dxfId="844" priority="1426" operator="lessThan">
      <formula>0</formula>
    </cfRule>
    <cfRule type="cellIs" priority="1427" operator="greaterThanOrEqual">
      <formula>0</formula>
    </cfRule>
    <cfRule type="cellIs" priority="1428" operator="greaterThanOrEqual">
      <formula>0</formula>
    </cfRule>
    <cfRule type="cellIs" dxfId="843" priority="1429" operator="lessThan">
      <formula>0</formula>
    </cfRule>
    <cfRule type="cellIs" dxfId="842" priority="1430" operator="lessThan">
      <formula>0</formula>
    </cfRule>
    <cfRule type="cellIs" priority="1431" operator="greaterThanOrEqual">
      <formula>0</formula>
    </cfRule>
    <cfRule type="cellIs" dxfId="841" priority="1443" operator="lessThan">
      <formula>0</formula>
    </cfRule>
    <cfRule type="cellIs" dxfId="840" priority="1444" operator="lessThan">
      <formula>0</formula>
    </cfRule>
    <cfRule type="cellIs" priority="1445" operator="greaterThanOrEqual">
      <formula>0</formula>
    </cfRule>
    <cfRule type="cellIs" priority="1446" operator="greaterThanOrEqual">
      <formula>0</formula>
    </cfRule>
    <cfRule type="cellIs" priority="1447" operator="greaterThanOrEqual">
      <formula>0</formula>
    </cfRule>
    <cfRule type="cellIs" dxfId="839" priority="1448" operator="lessThan">
      <formula>0</formula>
    </cfRule>
    <cfRule type="cellIs" dxfId="838" priority="1449" operator="lessThan">
      <formula>0</formula>
    </cfRule>
    <cfRule type="cellIs" dxfId="837" priority="1450" operator="lessThan">
      <formula>0</formula>
    </cfRule>
    <cfRule type="cellIs" dxfId="836" priority="1451" operator="lessThan">
      <formula>0</formula>
    </cfRule>
    <cfRule type="cellIs" dxfId="835" priority="1452" operator="lessThan">
      <formula>0</formula>
    </cfRule>
    <cfRule type="cellIs" priority="1453" operator="greaterThanOrEqual">
      <formula>0</formula>
    </cfRule>
    <cfRule type="cellIs" dxfId="834" priority="1454" operator="lessThan">
      <formula>0</formula>
    </cfRule>
    <cfRule type="cellIs" priority="1455" operator="greaterThanOrEqual">
      <formula>0</formula>
    </cfRule>
    <cfRule type="cellIs" priority="1456" operator="greaterThanOrEqual">
      <formula>0</formula>
    </cfRule>
    <cfRule type="cellIs" priority="1457" operator="greaterThanOrEqual">
      <formula>0</formula>
    </cfRule>
    <cfRule type="cellIs" dxfId="833" priority="1458" operator="lessThan">
      <formula>0</formula>
    </cfRule>
    <cfRule type="cellIs" priority="1459" operator="greaterThanOrEqual">
      <formula>0</formula>
    </cfRule>
    <cfRule type="cellIs" priority="1460" operator="greaterThanOrEqual">
      <formula>0</formula>
    </cfRule>
    <cfRule type="cellIs" priority="1461" operator="greaterThanOrEqual">
      <formula>0</formula>
    </cfRule>
    <cfRule type="cellIs" priority="1462" operator="greaterThanOrEqual">
      <formula>0</formula>
    </cfRule>
    <cfRule type="cellIs" dxfId="832" priority="1463" operator="lessThan">
      <formula>0</formula>
    </cfRule>
    <cfRule type="cellIs" dxfId="831" priority="1464" operator="lessThan">
      <formula>0</formula>
    </cfRule>
    <cfRule type="cellIs" dxfId="830" priority="1465" operator="lessThan">
      <formula>0</formula>
    </cfRule>
    <cfRule type="cellIs" dxfId="829" priority="1466" operator="lessThan">
      <formula>0</formula>
    </cfRule>
    <cfRule type="cellIs" dxfId="828" priority="1467" operator="lessThan">
      <formula>0</formula>
    </cfRule>
    <cfRule type="cellIs" priority="1468" operator="greaterThanOrEqual">
      <formula>0</formula>
    </cfRule>
    <cfRule type="cellIs" dxfId="827" priority="1469" operator="lessThan">
      <formula>0</formula>
    </cfRule>
    <cfRule type="cellIs" priority="1470" operator="greaterThanOrEqual">
      <formula>0</formula>
    </cfRule>
    <cfRule type="cellIs" priority="1471" operator="greaterThanOrEqual">
      <formula>0</formula>
    </cfRule>
    <cfRule type="cellIs" priority="1472" operator="greaterThanOrEqual">
      <formula>0</formula>
    </cfRule>
    <cfRule type="cellIs" priority="1473" operator="greaterThanOrEqual">
      <formula>0</formula>
    </cfRule>
    <cfRule type="cellIs" dxfId="826" priority="1474" operator="lessThan">
      <formula>0</formula>
    </cfRule>
    <cfRule type="cellIs" dxfId="825" priority="1475" operator="lessThan">
      <formula>0</formula>
    </cfRule>
    <cfRule type="cellIs" dxfId="824" priority="1476" operator="lessThan">
      <formula>0</formula>
    </cfRule>
    <cfRule type="cellIs" dxfId="823" priority="1477" operator="lessThan">
      <formula>0</formula>
    </cfRule>
    <cfRule type="cellIs" priority="1478" operator="greaterThanOrEqual">
      <formula>0</formula>
    </cfRule>
    <cfRule type="cellIs" dxfId="822" priority="1479" operator="lessThan">
      <formula>0</formula>
    </cfRule>
    <cfRule type="cellIs" priority="1480" operator="greaterThanOrEqual">
      <formula>0</formula>
    </cfRule>
    <cfRule type="cellIs" priority="1481" operator="greaterThanOrEqual">
      <formula>0</formula>
    </cfRule>
    <cfRule type="cellIs" dxfId="821" priority="1482" operator="lessThan">
      <formula>0</formula>
    </cfRule>
    <cfRule type="cellIs" dxfId="820" priority="1483" operator="lessThan">
      <formula>0</formula>
    </cfRule>
    <cfRule type="cellIs" priority="1484" operator="greaterThanOrEqual">
      <formula>0</formula>
    </cfRule>
    <cfRule type="cellIs" dxfId="819" priority="1496" operator="lessThan">
      <formula>0</formula>
    </cfRule>
    <cfRule type="cellIs" dxfId="818" priority="1497" operator="lessThan">
      <formula>0</formula>
    </cfRule>
    <cfRule type="cellIs" priority="1498" operator="greaterThanOrEqual">
      <formula>0</formula>
    </cfRule>
    <cfRule type="cellIs" priority="1499" operator="greaterThanOrEqual">
      <formula>0</formula>
    </cfRule>
    <cfRule type="cellIs" priority="1500" operator="greaterThanOrEqual">
      <formula>0</formula>
    </cfRule>
    <cfRule type="cellIs" dxfId="817" priority="1501" operator="lessThan">
      <formula>0</formula>
    </cfRule>
    <cfRule type="cellIs" dxfId="816" priority="1502" operator="lessThan">
      <formula>0</formula>
    </cfRule>
    <cfRule type="cellIs" dxfId="815" priority="1503" operator="lessThan">
      <formula>0</formula>
    </cfRule>
    <cfRule type="cellIs" dxfId="814" priority="1504" operator="lessThan">
      <formula>0</formula>
    </cfRule>
    <cfRule type="cellIs" dxfId="813" priority="1505" operator="lessThan">
      <formula>0</formula>
    </cfRule>
    <cfRule type="cellIs" priority="1506" operator="greaterThanOrEqual">
      <formula>0</formula>
    </cfRule>
    <cfRule type="cellIs" dxfId="812" priority="1507" operator="lessThan">
      <formula>0</formula>
    </cfRule>
    <cfRule type="cellIs" priority="1508" operator="greaterThanOrEqual">
      <formula>0</formula>
    </cfRule>
    <cfRule type="cellIs" priority="1509" operator="greaterThanOrEqual">
      <formula>0</formula>
    </cfRule>
    <cfRule type="cellIs" priority="1510" operator="greaterThanOrEqual">
      <formula>0</formula>
    </cfRule>
    <cfRule type="cellIs" dxfId="811" priority="1511" operator="lessThan">
      <formula>0</formula>
    </cfRule>
    <cfRule type="cellIs" priority="1512" operator="greaterThanOrEqual">
      <formula>0</formula>
    </cfRule>
    <cfRule type="cellIs" priority="1513" operator="greaterThanOrEqual">
      <formula>0</formula>
    </cfRule>
    <cfRule type="cellIs" priority="1514" operator="greaterThanOrEqual">
      <formula>0</formula>
    </cfRule>
    <cfRule type="cellIs" priority="1515" operator="greaterThanOrEqual">
      <formula>0</formula>
    </cfRule>
    <cfRule type="cellIs" dxfId="810" priority="1516" operator="lessThan">
      <formula>0</formula>
    </cfRule>
    <cfRule type="cellIs" dxfId="809" priority="1517" operator="lessThan">
      <formula>0</formula>
    </cfRule>
    <cfRule type="cellIs" dxfId="808" priority="1518" operator="lessThan">
      <formula>0</formula>
    </cfRule>
    <cfRule type="cellIs" dxfId="807" priority="1519" operator="lessThan">
      <formula>0</formula>
    </cfRule>
    <cfRule type="cellIs" dxfId="806" priority="1520" operator="lessThan">
      <formula>0</formula>
    </cfRule>
    <cfRule type="cellIs" priority="1521" operator="greaterThanOrEqual">
      <formula>0</formula>
    </cfRule>
    <cfRule type="cellIs" dxfId="805" priority="1522" operator="lessThan">
      <formula>0</formula>
    </cfRule>
    <cfRule type="cellIs" priority="1523" operator="greaterThanOrEqual">
      <formula>0</formula>
    </cfRule>
    <cfRule type="cellIs" priority="1524" operator="greaterThanOrEqual">
      <formula>0</formula>
    </cfRule>
    <cfRule type="cellIs" priority="1525" operator="greaterThanOrEqual">
      <formula>0</formula>
    </cfRule>
    <cfRule type="cellIs" priority="1526" operator="greaterThanOrEqual">
      <formula>0</formula>
    </cfRule>
    <cfRule type="cellIs" dxfId="804" priority="1527" operator="lessThan">
      <formula>0</formula>
    </cfRule>
    <cfRule type="cellIs" dxfId="803" priority="1528" operator="lessThan">
      <formula>0</formula>
    </cfRule>
    <cfRule type="cellIs" dxfId="802" priority="1529" operator="lessThan">
      <formula>0</formula>
    </cfRule>
    <cfRule type="cellIs" dxfId="801" priority="1530" operator="lessThan">
      <formula>0</formula>
    </cfRule>
    <cfRule type="cellIs" priority="1531" operator="greaterThanOrEqual">
      <formula>0</formula>
    </cfRule>
    <cfRule type="cellIs" dxfId="800" priority="1532" operator="lessThan">
      <formula>0</formula>
    </cfRule>
    <cfRule type="cellIs" priority="1533" operator="greaterThanOrEqual">
      <formula>0</formula>
    </cfRule>
    <cfRule type="cellIs" priority="1534" operator="greaterThanOrEqual">
      <formula>0</formula>
    </cfRule>
    <cfRule type="cellIs" dxfId="799" priority="1535" operator="lessThan">
      <formula>0</formula>
    </cfRule>
    <cfRule type="cellIs" dxfId="798" priority="1536" operator="lessThan">
      <formula>0</formula>
    </cfRule>
    <cfRule type="cellIs" priority="1537" operator="greaterThanOrEqual">
      <formula>0</formula>
    </cfRule>
    <cfRule type="cellIs" dxfId="797" priority="1549" operator="lessThan">
      <formula>0</formula>
    </cfRule>
    <cfRule type="cellIs" dxfId="796" priority="1550" operator="lessThan">
      <formula>0</formula>
    </cfRule>
    <cfRule type="cellIs" priority="1551" operator="greaterThanOrEqual">
      <formula>0</formula>
    </cfRule>
    <cfRule type="cellIs" priority="1552" operator="greaterThanOrEqual">
      <formula>0</formula>
    </cfRule>
    <cfRule type="cellIs" priority="1553" operator="greaterThanOrEqual">
      <formula>0</formula>
    </cfRule>
    <cfRule type="cellIs" dxfId="795" priority="1554" operator="lessThan">
      <formula>0</formula>
    </cfRule>
    <cfRule type="cellIs" dxfId="794" priority="1555" operator="lessThan">
      <formula>0</formula>
    </cfRule>
    <cfRule type="cellIs" dxfId="793" priority="1556" operator="lessThan">
      <formula>0</formula>
    </cfRule>
    <cfRule type="cellIs" dxfId="792" priority="1557" operator="lessThan">
      <formula>0</formula>
    </cfRule>
    <cfRule type="cellIs" dxfId="791" priority="1558" operator="lessThan">
      <formula>0</formula>
    </cfRule>
    <cfRule type="cellIs" priority="1559" operator="greaterThanOrEqual">
      <formula>0</formula>
    </cfRule>
    <cfRule type="cellIs" dxfId="790" priority="1560" operator="lessThan">
      <formula>0</formula>
    </cfRule>
    <cfRule type="cellIs" priority="1561" operator="greaterThanOrEqual">
      <formula>0</formula>
    </cfRule>
    <cfRule type="cellIs" priority="1562" operator="greaterThanOrEqual">
      <formula>0</formula>
    </cfRule>
    <cfRule type="cellIs" priority="1563" operator="greaterThanOrEqual">
      <formula>0</formula>
    </cfRule>
    <cfRule type="cellIs" dxfId="789" priority="1564" operator="lessThan">
      <formula>0</formula>
    </cfRule>
    <cfRule type="cellIs" priority="1565" operator="greaterThanOrEqual">
      <formula>0</formula>
    </cfRule>
    <cfRule type="cellIs" priority="1566" operator="greaterThanOrEqual">
      <formula>0</formula>
    </cfRule>
    <cfRule type="cellIs" priority="1567" operator="greaterThanOrEqual">
      <formula>0</formula>
    </cfRule>
    <cfRule type="cellIs" priority="1568" operator="greaterThanOrEqual">
      <formula>0</formula>
    </cfRule>
    <cfRule type="cellIs" dxfId="788" priority="1569" operator="lessThan">
      <formula>0</formula>
    </cfRule>
    <cfRule type="cellIs" dxfId="787" priority="1570" operator="lessThan">
      <formula>0</formula>
    </cfRule>
    <cfRule type="cellIs" dxfId="786" priority="1571" operator="lessThan">
      <formula>0</formula>
    </cfRule>
    <cfRule type="cellIs" dxfId="785" priority="1572" operator="lessThan">
      <formula>0</formula>
    </cfRule>
    <cfRule type="cellIs" dxfId="784" priority="1573" operator="lessThan">
      <formula>0</formula>
    </cfRule>
    <cfRule type="cellIs" priority="1574" operator="greaterThanOrEqual">
      <formula>0</formula>
    </cfRule>
    <cfRule type="cellIs" dxfId="783" priority="1575" operator="lessThan">
      <formula>0</formula>
    </cfRule>
    <cfRule type="cellIs" priority="1576" operator="greaterThanOrEqual">
      <formula>0</formula>
    </cfRule>
    <cfRule type="cellIs" priority="1577" operator="greaterThanOrEqual">
      <formula>0</formula>
    </cfRule>
    <cfRule type="cellIs" priority="1578" operator="greaterThanOrEqual">
      <formula>0</formula>
    </cfRule>
    <cfRule type="cellIs" priority="1579" operator="greaterThanOrEqual">
      <formula>0</formula>
    </cfRule>
    <cfRule type="cellIs" dxfId="782" priority="1580" operator="lessThan">
      <formula>0</formula>
    </cfRule>
    <cfRule type="cellIs" dxfId="781" priority="1581" operator="lessThan">
      <formula>0</formula>
    </cfRule>
    <cfRule type="cellIs" dxfId="780" priority="1582" operator="lessThan">
      <formula>0</formula>
    </cfRule>
    <cfRule type="cellIs" dxfId="779" priority="1583" operator="lessThan">
      <formula>0</formula>
    </cfRule>
    <cfRule type="cellIs" priority="1584" operator="greaterThanOrEqual">
      <formula>0</formula>
    </cfRule>
    <cfRule type="cellIs" dxfId="778" priority="1585" operator="lessThan">
      <formula>0</formula>
    </cfRule>
    <cfRule type="cellIs" priority="1586" operator="greaterThanOrEqual">
      <formula>0</formula>
    </cfRule>
    <cfRule type="cellIs" priority="1587" operator="greaterThanOrEqual">
      <formula>0</formula>
    </cfRule>
    <cfRule type="cellIs" dxfId="777" priority="1588" operator="lessThan">
      <formula>0</formula>
    </cfRule>
    <cfRule type="cellIs" dxfId="776" priority="1589" operator="lessThan">
      <formula>0</formula>
    </cfRule>
    <cfRule type="cellIs" priority="1590" operator="greaterThanOrEqual">
      <formula>0</formula>
    </cfRule>
    <cfRule type="cellIs" dxfId="775" priority="1602" operator="lessThan">
      <formula>0</formula>
    </cfRule>
    <cfRule type="cellIs" dxfId="774" priority="1603" operator="lessThan">
      <formula>0</formula>
    </cfRule>
    <cfRule type="cellIs" priority="1604" operator="greaterThanOrEqual">
      <formula>0</formula>
    </cfRule>
    <cfRule type="cellIs" priority="1605" operator="greaterThanOrEqual">
      <formula>0</formula>
    </cfRule>
    <cfRule type="cellIs" priority="1606" operator="greaterThanOrEqual">
      <formula>0</formula>
    </cfRule>
    <cfRule type="cellIs" dxfId="773" priority="1607" operator="lessThan">
      <formula>0</formula>
    </cfRule>
    <cfRule type="cellIs" dxfId="772" priority="1608" operator="lessThan">
      <formula>0</formula>
    </cfRule>
    <cfRule type="cellIs" dxfId="771" priority="1609" operator="lessThan">
      <formula>0</formula>
    </cfRule>
    <cfRule type="cellIs" dxfId="770" priority="1610" operator="lessThan">
      <formula>0</formula>
    </cfRule>
    <cfRule type="cellIs" dxfId="769" priority="1611" operator="lessThan">
      <formula>0</formula>
    </cfRule>
    <cfRule type="cellIs" priority="1612" operator="greaterThanOrEqual">
      <formula>0</formula>
    </cfRule>
    <cfRule type="cellIs" dxfId="768" priority="1613" operator="lessThan">
      <formula>0</formula>
    </cfRule>
    <cfRule type="cellIs" priority="1614" operator="greaterThanOrEqual">
      <formula>0</formula>
    </cfRule>
    <cfRule type="cellIs" priority="1615" operator="greaterThanOrEqual">
      <formula>0</formula>
    </cfRule>
    <cfRule type="cellIs" priority="1616" operator="greaterThanOrEqual">
      <formula>0</formula>
    </cfRule>
    <cfRule type="cellIs" dxfId="767" priority="1617" operator="lessThan">
      <formula>0</formula>
    </cfRule>
    <cfRule type="cellIs" priority="1618" operator="greaterThanOrEqual">
      <formula>0</formula>
    </cfRule>
    <cfRule type="cellIs" priority="1619" operator="greaterThanOrEqual">
      <formula>0</formula>
    </cfRule>
    <cfRule type="cellIs" priority="1620" operator="greaterThanOrEqual">
      <formula>0</formula>
    </cfRule>
    <cfRule type="cellIs" priority="1621" operator="greaterThanOrEqual">
      <formula>0</formula>
    </cfRule>
    <cfRule type="cellIs" dxfId="766" priority="1622" operator="lessThan">
      <formula>0</formula>
    </cfRule>
    <cfRule type="cellIs" dxfId="765" priority="1623" operator="lessThan">
      <formula>0</formula>
    </cfRule>
    <cfRule type="cellIs" dxfId="764" priority="1624" operator="lessThan">
      <formula>0</formula>
    </cfRule>
    <cfRule type="cellIs" dxfId="763" priority="1625" operator="lessThan">
      <formula>0</formula>
    </cfRule>
    <cfRule type="cellIs" dxfId="762" priority="1626" operator="lessThan">
      <formula>0</formula>
    </cfRule>
    <cfRule type="cellIs" priority="1627" operator="greaterThanOrEqual">
      <formula>0</formula>
    </cfRule>
    <cfRule type="cellIs" dxfId="761" priority="1628" operator="lessThan">
      <formula>0</formula>
    </cfRule>
    <cfRule type="cellIs" priority="1629" operator="greaterThanOrEqual">
      <formula>0</formula>
    </cfRule>
    <cfRule type="cellIs" priority="1630" operator="greaterThanOrEqual">
      <formula>0</formula>
    </cfRule>
    <cfRule type="cellIs" priority="1631" operator="greaterThanOrEqual">
      <formula>0</formula>
    </cfRule>
    <cfRule type="cellIs" priority="1632" operator="greaterThanOrEqual">
      <formula>0</formula>
    </cfRule>
    <cfRule type="cellIs" dxfId="760" priority="1633" operator="lessThan">
      <formula>0</formula>
    </cfRule>
    <cfRule type="cellIs" dxfId="759" priority="1634" operator="lessThan">
      <formula>0</formula>
    </cfRule>
    <cfRule type="cellIs" dxfId="758" priority="1635" operator="lessThan">
      <formula>0</formula>
    </cfRule>
    <cfRule type="cellIs" dxfId="757" priority="1636" operator="lessThan">
      <formula>0</formula>
    </cfRule>
    <cfRule type="cellIs" priority="1637" operator="greaterThanOrEqual">
      <formula>0</formula>
    </cfRule>
    <cfRule type="cellIs" dxfId="756" priority="1638" operator="lessThan">
      <formula>0</formula>
    </cfRule>
    <cfRule type="cellIs" priority="1639" operator="greaterThanOrEqual">
      <formula>0</formula>
    </cfRule>
    <cfRule type="cellIs" priority="1640" operator="greaterThanOrEqual">
      <formula>0</formula>
    </cfRule>
    <cfRule type="cellIs" dxfId="755" priority="1641" operator="lessThan">
      <formula>0</formula>
    </cfRule>
    <cfRule type="cellIs" dxfId="754" priority="1642" operator="lessThan">
      <formula>0</formula>
    </cfRule>
    <cfRule type="cellIs" priority="1643" operator="greaterThanOrEqual">
      <formula>0</formula>
    </cfRule>
    <cfRule type="cellIs" dxfId="753" priority="1655" operator="lessThan">
      <formula>0</formula>
    </cfRule>
    <cfRule type="cellIs" dxfId="752" priority="1656" operator="lessThan">
      <formula>0</formula>
    </cfRule>
    <cfRule type="cellIs" priority="1657" operator="greaterThanOrEqual">
      <formula>0</formula>
    </cfRule>
    <cfRule type="cellIs" priority="1658" operator="greaterThanOrEqual">
      <formula>0</formula>
    </cfRule>
    <cfRule type="cellIs" priority="1659" operator="greaterThanOrEqual">
      <formula>0</formula>
    </cfRule>
    <cfRule type="cellIs" dxfId="751" priority="1660" operator="lessThan">
      <formula>0</formula>
    </cfRule>
    <cfRule type="cellIs" dxfId="750" priority="1661" operator="lessThan">
      <formula>0</formula>
    </cfRule>
    <cfRule type="cellIs" dxfId="749" priority="1662" operator="lessThan">
      <formula>0</formula>
    </cfRule>
    <cfRule type="cellIs" dxfId="748" priority="1663" operator="lessThan">
      <formula>0</formula>
    </cfRule>
    <cfRule type="cellIs" dxfId="747" priority="1664" operator="lessThan">
      <formula>0</formula>
    </cfRule>
    <cfRule type="cellIs" priority="1665" operator="greaterThanOrEqual">
      <formula>0</formula>
    </cfRule>
    <cfRule type="cellIs" dxfId="746" priority="1666" operator="lessThan">
      <formula>0</formula>
    </cfRule>
    <cfRule type="cellIs" priority="1667" operator="greaterThanOrEqual">
      <formula>0</formula>
    </cfRule>
    <cfRule type="cellIs" priority="1668" operator="greaterThanOrEqual">
      <formula>0</formula>
    </cfRule>
    <cfRule type="cellIs" priority="1669" operator="greaterThanOrEqual">
      <formula>0</formula>
    </cfRule>
    <cfRule type="cellIs" dxfId="745" priority="1670" operator="lessThan">
      <formula>0</formula>
    </cfRule>
    <cfRule type="cellIs" priority="1671" operator="greaterThanOrEqual">
      <formula>0</formula>
    </cfRule>
    <cfRule type="cellIs" priority="1672" operator="greaterThanOrEqual">
      <formula>0</formula>
    </cfRule>
    <cfRule type="cellIs" priority="1673" operator="greaterThanOrEqual">
      <formula>0</formula>
    </cfRule>
    <cfRule type="cellIs" priority="1674" operator="greaterThanOrEqual">
      <formula>0</formula>
    </cfRule>
    <cfRule type="cellIs" dxfId="744" priority="1675" operator="lessThan">
      <formula>0</formula>
    </cfRule>
    <cfRule type="cellIs" dxfId="743" priority="1676" operator="lessThan">
      <formula>0</formula>
    </cfRule>
    <cfRule type="cellIs" dxfId="742" priority="1677" operator="lessThan">
      <formula>0</formula>
    </cfRule>
    <cfRule type="cellIs" dxfId="741" priority="1678" operator="lessThan">
      <formula>0</formula>
    </cfRule>
    <cfRule type="cellIs" dxfId="740" priority="1679" operator="lessThan">
      <formula>0</formula>
    </cfRule>
    <cfRule type="cellIs" priority="1680" operator="greaterThanOrEqual">
      <formula>0</formula>
    </cfRule>
    <cfRule type="cellIs" dxfId="739" priority="1681" operator="lessThan">
      <formula>0</formula>
    </cfRule>
    <cfRule type="cellIs" priority="1682" operator="greaterThanOrEqual">
      <formula>0</formula>
    </cfRule>
    <cfRule type="cellIs" priority="1683" operator="greaterThanOrEqual">
      <formula>0</formula>
    </cfRule>
    <cfRule type="cellIs" priority="1684" operator="greaterThanOrEqual">
      <formula>0</formula>
    </cfRule>
    <cfRule type="cellIs" priority="1685" operator="greaterThanOrEqual">
      <formula>0</formula>
    </cfRule>
    <cfRule type="cellIs" dxfId="738" priority="1686" operator="lessThan">
      <formula>0</formula>
    </cfRule>
    <cfRule type="cellIs" dxfId="737" priority="1687" operator="lessThan">
      <formula>0</formula>
    </cfRule>
    <cfRule type="cellIs" dxfId="736" priority="1688" operator="lessThan">
      <formula>0</formula>
    </cfRule>
    <cfRule type="cellIs" dxfId="735" priority="1689" operator="lessThan">
      <formula>0</formula>
    </cfRule>
    <cfRule type="cellIs" priority="1690" operator="greaterThanOrEqual">
      <formula>0</formula>
    </cfRule>
    <cfRule type="cellIs" dxfId="734" priority="1691" operator="lessThan">
      <formula>0</formula>
    </cfRule>
    <cfRule type="cellIs" priority="1692" operator="greaterThanOrEqual">
      <formula>0</formula>
    </cfRule>
    <cfRule type="cellIs" priority="1693" operator="greaterThanOrEqual">
      <formula>0</formula>
    </cfRule>
    <cfRule type="cellIs" dxfId="733" priority="1694" operator="lessThan">
      <formula>0</formula>
    </cfRule>
    <cfRule type="cellIs" dxfId="732" priority="1695" operator="lessThan">
      <formula>0</formula>
    </cfRule>
    <cfRule type="cellIs" priority="1696" operator="greaterThanOrEqual">
      <formula>0</formula>
    </cfRule>
    <cfRule type="cellIs" dxfId="731" priority="1708" operator="lessThan">
      <formula>0</formula>
    </cfRule>
    <cfRule type="cellIs" dxfId="730" priority="1709" operator="lessThan">
      <formula>0</formula>
    </cfRule>
    <cfRule type="cellIs" priority="1710" operator="greaterThanOrEqual">
      <formula>0</formula>
    </cfRule>
    <cfRule type="cellIs" priority="1711" operator="greaterThanOrEqual">
      <formula>0</formula>
    </cfRule>
    <cfRule type="cellIs" priority="1712" operator="greaterThanOrEqual">
      <formula>0</formula>
    </cfRule>
    <cfRule type="cellIs" dxfId="729" priority="1713" operator="lessThan">
      <formula>0</formula>
    </cfRule>
    <cfRule type="cellIs" dxfId="728" priority="1714" operator="lessThan">
      <formula>0</formula>
    </cfRule>
    <cfRule type="cellIs" dxfId="727" priority="1715" operator="lessThan">
      <formula>0</formula>
    </cfRule>
    <cfRule type="cellIs" dxfId="726" priority="1716" operator="lessThan">
      <formula>0</formula>
    </cfRule>
    <cfRule type="cellIs" dxfId="725" priority="1717" operator="lessThan">
      <formula>0</formula>
    </cfRule>
    <cfRule type="cellIs" priority="1718" operator="greaterThanOrEqual">
      <formula>0</formula>
    </cfRule>
    <cfRule type="cellIs" dxfId="724" priority="1719" operator="lessThan">
      <formula>0</formula>
    </cfRule>
    <cfRule type="cellIs" priority="1720" operator="greaterThanOrEqual">
      <formula>0</formula>
    </cfRule>
    <cfRule type="cellIs" priority="1721" operator="greaterThanOrEqual">
      <formula>0</formula>
    </cfRule>
    <cfRule type="cellIs" priority="1722" operator="greaterThanOrEqual">
      <formula>0</formula>
    </cfRule>
    <cfRule type="cellIs" dxfId="723" priority="1723" operator="lessThan">
      <formula>0</formula>
    </cfRule>
    <cfRule type="cellIs" priority="1724" operator="greaterThanOrEqual">
      <formula>0</formula>
    </cfRule>
    <cfRule type="cellIs" priority="1725" operator="greaterThanOrEqual">
      <formula>0</formula>
    </cfRule>
    <cfRule type="cellIs" priority="1726" operator="greaterThanOrEqual">
      <formula>0</formula>
    </cfRule>
    <cfRule type="cellIs" priority="1727" operator="greaterThanOrEqual">
      <formula>0</formula>
    </cfRule>
    <cfRule type="cellIs" dxfId="722" priority="1728" operator="lessThan">
      <formula>0</formula>
    </cfRule>
    <cfRule type="cellIs" dxfId="721" priority="1729" operator="lessThan">
      <formula>0</formula>
    </cfRule>
    <cfRule type="cellIs" dxfId="720" priority="1730" operator="lessThan">
      <formula>0</formula>
    </cfRule>
    <cfRule type="cellIs" dxfId="719" priority="1731" operator="lessThan">
      <formula>0</formula>
    </cfRule>
    <cfRule type="cellIs" dxfId="718" priority="1732" operator="lessThan">
      <formula>0</formula>
    </cfRule>
    <cfRule type="cellIs" priority="1733" operator="greaterThanOrEqual">
      <formula>0</formula>
    </cfRule>
    <cfRule type="cellIs" dxfId="717" priority="1734" operator="lessThan">
      <formula>0</formula>
    </cfRule>
    <cfRule type="cellIs" priority="1735" operator="greaterThanOrEqual">
      <formula>0</formula>
    </cfRule>
    <cfRule type="cellIs" priority="1736" operator="greaterThanOrEqual">
      <formula>0</formula>
    </cfRule>
    <cfRule type="cellIs" priority="1737" operator="greaterThanOrEqual">
      <formula>0</formula>
    </cfRule>
    <cfRule type="cellIs" priority="1738" operator="greaterThanOrEqual">
      <formula>0</formula>
    </cfRule>
    <cfRule type="cellIs" dxfId="716" priority="1739" operator="lessThan">
      <formula>0</formula>
    </cfRule>
    <cfRule type="cellIs" dxfId="715" priority="1740" operator="lessThan">
      <formula>0</formula>
    </cfRule>
    <cfRule type="cellIs" dxfId="714" priority="1741" operator="lessThan">
      <formula>0</formula>
    </cfRule>
    <cfRule type="cellIs" dxfId="713" priority="1742" operator="lessThan">
      <formula>0</formula>
    </cfRule>
    <cfRule type="cellIs" priority="1743" operator="greaterThanOrEqual">
      <formula>0</formula>
    </cfRule>
    <cfRule type="cellIs" dxfId="712" priority="1744" operator="lessThan">
      <formula>0</formula>
    </cfRule>
    <cfRule type="cellIs" priority="1745" operator="greaterThanOrEqual">
      <formula>0</formula>
    </cfRule>
    <cfRule type="cellIs" priority="1746" operator="greaterThanOrEqual">
      <formula>0</formula>
    </cfRule>
    <cfRule type="cellIs" dxfId="711" priority="1747" operator="lessThan">
      <formula>0</formula>
    </cfRule>
    <cfRule type="cellIs" dxfId="710" priority="1748" operator="lessThan">
      <formula>0</formula>
    </cfRule>
    <cfRule type="cellIs" priority="1749" operator="greaterThanOrEqual">
      <formula>0</formula>
    </cfRule>
    <cfRule type="cellIs" dxfId="709" priority="1761" operator="lessThan">
      <formula>0</formula>
    </cfRule>
    <cfRule type="cellIs" dxfId="708" priority="1762" operator="lessThan">
      <formula>0</formula>
    </cfRule>
    <cfRule type="cellIs" priority="1763" operator="greaterThanOrEqual">
      <formula>0</formula>
    </cfRule>
    <cfRule type="cellIs" priority="1764" operator="greaterThanOrEqual">
      <formula>0</formula>
    </cfRule>
    <cfRule type="cellIs" priority="1765" operator="greaterThanOrEqual">
      <formula>0</formula>
    </cfRule>
    <cfRule type="cellIs" dxfId="707" priority="1766" operator="lessThan">
      <formula>0</formula>
    </cfRule>
    <cfRule type="cellIs" dxfId="706" priority="1767" operator="lessThan">
      <formula>0</formula>
    </cfRule>
    <cfRule type="cellIs" dxfId="705" priority="1768" operator="lessThan">
      <formula>0</formula>
    </cfRule>
    <cfRule type="cellIs" dxfId="704" priority="1769" operator="lessThan">
      <formula>0</formula>
    </cfRule>
    <cfRule type="cellIs" dxfId="703" priority="1770" operator="lessThan">
      <formula>0</formula>
    </cfRule>
    <cfRule type="cellIs" priority="1771" operator="greaterThanOrEqual">
      <formula>0</formula>
    </cfRule>
    <cfRule type="cellIs" dxfId="702" priority="1772" operator="lessThan">
      <formula>0</formula>
    </cfRule>
    <cfRule type="cellIs" priority="1773" operator="greaterThanOrEqual">
      <formula>0</formula>
    </cfRule>
    <cfRule type="cellIs" priority="1774" operator="greaterThanOrEqual">
      <formula>0</formula>
    </cfRule>
    <cfRule type="cellIs" priority="1775" operator="greaterThanOrEqual">
      <formula>0</formula>
    </cfRule>
    <cfRule type="cellIs" dxfId="701" priority="1776" operator="lessThan">
      <formula>0</formula>
    </cfRule>
    <cfRule type="cellIs" priority="1777" operator="greaterThanOrEqual">
      <formula>0</formula>
    </cfRule>
    <cfRule type="cellIs" priority="1778" operator="greaterThanOrEqual">
      <formula>0</formula>
    </cfRule>
    <cfRule type="cellIs" priority="1779" operator="greaterThanOrEqual">
      <formula>0</formula>
    </cfRule>
    <cfRule type="cellIs" priority="1780" operator="greaterThanOrEqual">
      <formula>0</formula>
    </cfRule>
    <cfRule type="cellIs" dxfId="700" priority="1781" operator="lessThan">
      <formula>0</formula>
    </cfRule>
    <cfRule type="cellIs" dxfId="699" priority="1782" operator="lessThan">
      <formula>0</formula>
    </cfRule>
    <cfRule type="cellIs" dxfId="698" priority="1783" operator="lessThan">
      <formula>0</formula>
    </cfRule>
    <cfRule type="cellIs" dxfId="697" priority="1784" operator="lessThan">
      <formula>0</formula>
    </cfRule>
    <cfRule type="cellIs" dxfId="696" priority="1785" operator="lessThan">
      <formula>0</formula>
    </cfRule>
    <cfRule type="cellIs" priority="1786" operator="greaterThanOrEqual">
      <formula>0</formula>
    </cfRule>
    <cfRule type="cellIs" dxfId="695" priority="1787" operator="lessThan">
      <formula>0</formula>
    </cfRule>
    <cfRule type="cellIs" priority="1788" operator="greaterThanOrEqual">
      <formula>0</formula>
    </cfRule>
    <cfRule type="cellIs" priority="1789" operator="greaterThanOrEqual">
      <formula>0</formula>
    </cfRule>
    <cfRule type="cellIs" priority="1790" operator="greaterThanOrEqual">
      <formula>0</formula>
    </cfRule>
    <cfRule type="cellIs" priority="1791" operator="greaterThanOrEqual">
      <formula>0</formula>
    </cfRule>
    <cfRule type="cellIs" dxfId="694" priority="1792" operator="lessThan">
      <formula>0</formula>
    </cfRule>
    <cfRule type="cellIs" dxfId="693" priority="1793" operator="lessThan">
      <formula>0</formula>
    </cfRule>
    <cfRule type="cellIs" dxfId="692" priority="1794" operator="lessThan">
      <formula>0</formula>
    </cfRule>
    <cfRule type="cellIs" dxfId="691" priority="1795" operator="lessThan">
      <formula>0</formula>
    </cfRule>
    <cfRule type="cellIs" priority="1796" operator="greaterThanOrEqual">
      <formula>0</formula>
    </cfRule>
    <cfRule type="cellIs" dxfId="690" priority="1797" operator="lessThan">
      <formula>0</formula>
    </cfRule>
    <cfRule type="cellIs" priority="1798" operator="greaterThanOrEqual">
      <formula>0</formula>
    </cfRule>
    <cfRule type="cellIs" priority="1799" operator="greaterThanOrEqual">
      <formula>0</formula>
    </cfRule>
    <cfRule type="cellIs" dxfId="689" priority="1800" operator="lessThan">
      <formula>0</formula>
    </cfRule>
    <cfRule type="cellIs" dxfId="688" priority="1801" operator="lessThan">
      <formula>0</formula>
    </cfRule>
    <cfRule type="cellIs" priority="1802" operator="greaterThanOrEqual">
      <formula>0</formula>
    </cfRule>
    <cfRule type="cellIs" dxfId="687" priority="1814" operator="lessThan">
      <formula>0</formula>
    </cfRule>
    <cfRule type="cellIs" dxfId="686" priority="1815" operator="lessThan">
      <formula>0</formula>
    </cfRule>
    <cfRule type="cellIs" priority="1816" operator="greaterThanOrEqual">
      <formula>0</formula>
    </cfRule>
    <cfRule type="cellIs" priority="1817" operator="greaterThanOrEqual">
      <formula>0</formula>
    </cfRule>
    <cfRule type="cellIs" priority="1818" operator="greaterThanOrEqual">
      <formula>0</formula>
    </cfRule>
    <cfRule type="cellIs" dxfId="685" priority="1819" operator="lessThan">
      <formula>0</formula>
    </cfRule>
    <cfRule type="cellIs" dxfId="684" priority="1820" operator="lessThan">
      <formula>0</formula>
    </cfRule>
    <cfRule type="cellIs" dxfId="683" priority="1821" operator="lessThan">
      <formula>0</formula>
    </cfRule>
    <cfRule type="cellIs" dxfId="682" priority="1822" operator="lessThan">
      <formula>0</formula>
    </cfRule>
    <cfRule type="cellIs" dxfId="681" priority="1823" operator="lessThan">
      <formula>0</formula>
    </cfRule>
    <cfRule type="cellIs" priority="1824" operator="greaterThanOrEqual">
      <formula>0</formula>
    </cfRule>
    <cfRule type="cellIs" dxfId="680" priority="1825" operator="lessThan">
      <formula>0</formula>
    </cfRule>
    <cfRule type="cellIs" priority="1826" operator="greaterThanOrEqual">
      <formula>0</formula>
    </cfRule>
    <cfRule type="cellIs" priority="1827" operator="greaterThanOrEqual">
      <formula>0</formula>
    </cfRule>
    <cfRule type="cellIs" priority="1828" operator="greaterThanOrEqual">
      <formula>0</formula>
    </cfRule>
    <cfRule type="cellIs" dxfId="679" priority="1829" operator="lessThan">
      <formula>0</formula>
    </cfRule>
    <cfRule type="cellIs" priority="1830" operator="greaterThanOrEqual">
      <formula>0</formula>
    </cfRule>
    <cfRule type="cellIs" priority="1831" operator="greaterThanOrEqual">
      <formula>0</formula>
    </cfRule>
    <cfRule type="cellIs" priority="1832" operator="greaterThanOrEqual">
      <formula>0</formula>
    </cfRule>
    <cfRule type="cellIs" priority="1833" operator="greaterThanOrEqual">
      <formula>0</formula>
    </cfRule>
    <cfRule type="cellIs" dxfId="678" priority="1834" operator="lessThan">
      <formula>0</formula>
    </cfRule>
    <cfRule type="cellIs" dxfId="677" priority="1835" operator="lessThan">
      <formula>0</formula>
    </cfRule>
    <cfRule type="cellIs" dxfId="676" priority="1836" operator="lessThan">
      <formula>0</formula>
    </cfRule>
    <cfRule type="cellIs" dxfId="675" priority="1837" operator="lessThan">
      <formula>0</formula>
    </cfRule>
    <cfRule type="cellIs" dxfId="674" priority="1838" operator="lessThan">
      <formula>0</formula>
    </cfRule>
    <cfRule type="cellIs" priority="1839" operator="greaterThanOrEqual">
      <formula>0</formula>
    </cfRule>
    <cfRule type="cellIs" dxfId="673" priority="1840" operator="lessThan">
      <formula>0</formula>
    </cfRule>
    <cfRule type="cellIs" priority="1841" operator="greaterThanOrEqual">
      <formula>0</formula>
    </cfRule>
    <cfRule type="cellIs" priority="1842" operator="greaterThanOrEqual">
      <formula>0</formula>
    </cfRule>
    <cfRule type="cellIs" priority="1843" operator="greaterThanOrEqual">
      <formula>0</formula>
    </cfRule>
    <cfRule type="cellIs" priority="1844" operator="greaterThanOrEqual">
      <formula>0</formula>
    </cfRule>
    <cfRule type="cellIs" dxfId="672" priority="1845" operator="lessThan">
      <formula>0</formula>
    </cfRule>
    <cfRule type="cellIs" dxfId="671" priority="1846" operator="lessThan">
      <formula>0</formula>
    </cfRule>
    <cfRule type="cellIs" dxfId="670" priority="1847" operator="lessThan">
      <formula>0</formula>
    </cfRule>
    <cfRule type="cellIs" dxfId="669" priority="1848" operator="lessThan">
      <formula>0</formula>
    </cfRule>
    <cfRule type="cellIs" priority="1849" operator="greaterThanOrEqual">
      <formula>0</formula>
    </cfRule>
    <cfRule type="cellIs" dxfId="668" priority="1850" operator="lessThan">
      <formula>0</formula>
    </cfRule>
    <cfRule type="cellIs" priority="1851" operator="greaterThanOrEqual">
      <formula>0</formula>
    </cfRule>
    <cfRule type="cellIs" priority="1852" operator="greaterThanOrEqual">
      <formula>0</formula>
    </cfRule>
    <cfRule type="cellIs" dxfId="667" priority="1853" operator="lessThan">
      <formula>0</formula>
    </cfRule>
    <cfRule type="cellIs" dxfId="666" priority="1854" operator="lessThan">
      <formula>0</formula>
    </cfRule>
    <cfRule type="cellIs" priority="1855" operator="greaterThanOrEqual">
      <formula>0</formula>
    </cfRule>
    <cfRule type="cellIs" dxfId="665" priority="1867" operator="lessThan">
      <formula>0</formula>
    </cfRule>
    <cfRule type="cellIs" dxfId="664" priority="1868" operator="lessThan">
      <formula>0</formula>
    </cfRule>
    <cfRule type="cellIs" priority="1869" operator="greaterThanOrEqual">
      <formula>0</formula>
    </cfRule>
    <cfRule type="cellIs" priority="1870" operator="greaterThanOrEqual">
      <formula>0</formula>
    </cfRule>
    <cfRule type="cellIs" priority="1871" operator="greaterThanOrEqual">
      <formula>0</formula>
    </cfRule>
    <cfRule type="cellIs" dxfId="663" priority="1872" operator="lessThan">
      <formula>0</formula>
    </cfRule>
    <cfRule type="cellIs" dxfId="662" priority="1873" operator="lessThan">
      <formula>0</formula>
    </cfRule>
    <cfRule type="cellIs" dxfId="661" priority="1874" operator="lessThan">
      <formula>0</formula>
    </cfRule>
    <cfRule type="cellIs" dxfId="660" priority="1875" operator="lessThan">
      <formula>0</formula>
    </cfRule>
    <cfRule type="cellIs" dxfId="659" priority="1876" operator="lessThan">
      <formula>0</formula>
    </cfRule>
    <cfRule type="cellIs" priority="1877" operator="greaterThanOrEqual">
      <formula>0</formula>
    </cfRule>
    <cfRule type="cellIs" dxfId="658" priority="1878" operator="lessThan">
      <formula>0</formula>
    </cfRule>
    <cfRule type="cellIs" priority="1879" operator="greaterThanOrEqual">
      <formula>0</formula>
    </cfRule>
    <cfRule type="cellIs" priority="1880" operator="greaterThanOrEqual">
      <formula>0</formula>
    </cfRule>
    <cfRule type="cellIs" priority="1881" operator="greaterThanOrEqual">
      <formula>0</formula>
    </cfRule>
    <cfRule type="cellIs" dxfId="657" priority="1882" operator="lessThan">
      <formula>0</formula>
    </cfRule>
    <cfRule type="cellIs" priority="1883" operator="greaterThanOrEqual">
      <formula>0</formula>
    </cfRule>
    <cfRule type="cellIs" priority="1884" operator="greaterThanOrEqual">
      <formula>0</formula>
    </cfRule>
    <cfRule type="cellIs" priority="1885" operator="greaterThanOrEqual">
      <formula>0</formula>
    </cfRule>
    <cfRule type="cellIs" priority="1886" operator="greaterThanOrEqual">
      <formula>0</formula>
    </cfRule>
    <cfRule type="cellIs" dxfId="656" priority="1887" operator="lessThan">
      <formula>0</formula>
    </cfRule>
    <cfRule type="cellIs" dxfId="655" priority="1888" operator="lessThan">
      <formula>0</formula>
    </cfRule>
    <cfRule type="cellIs" dxfId="654" priority="1889" operator="lessThan">
      <formula>0</formula>
    </cfRule>
    <cfRule type="cellIs" dxfId="653" priority="1890" operator="lessThan">
      <formula>0</formula>
    </cfRule>
    <cfRule type="cellIs" dxfId="652" priority="1891" operator="lessThan">
      <formula>0</formula>
    </cfRule>
    <cfRule type="cellIs" priority="1892" operator="greaterThanOrEqual">
      <formula>0</formula>
    </cfRule>
    <cfRule type="cellIs" dxfId="651" priority="1893" operator="lessThan">
      <formula>0</formula>
    </cfRule>
    <cfRule type="cellIs" priority="1894" operator="greaterThanOrEqual">
      <formula>0</formula>
    </cfRule>
    <cfRule type="cellIs" priority="1895" operator="greaterThanOrEqual">
      <formula>0</formula>
    </cfRule>
    <cfRule type="cellIs" priority="1896" operator="greaterThanOrEqual">
      <formula>0</formula>
    </cfRule>
    <cfRule type="cellIs" priority="1897" operator="greaterThanOrEqual">
      <formula>0</formula>
    </cfRule>
    <cfRule type="cellIs" dxfId="650" priority="1898" operator="lessThan">
      <formula>0</formula>
    </cfRule>
    <cfRule type="cellIs" dxfId="649" priority="1899" operator="lessThan">
      <formula>0</formula>
    </cfRule>
    <cfRule type="cellIs" dxfId="648" priority="1900" operator="lessThan">
      <formula>0</formula>
    </cfRule>
    <cfRule type="cellIs" dxfId="647" priority="1901" operator="lessThan">
      <formula>0</formula>
    </cfRule>
    <cfRule type="cellIs" priority="1902" operator="greaterThanOrEqual">
      <formula>0</formula>
    </cfRule>
    <cfRule type="cellIs" dxfId="646" priority="1903" operator="lessThan">
      <formula>0</formula>
    </cfRule>
    <cfRule type="cellIs" priority="1904" operator="greaterThanOrEqual">
      <formula>0</formula>
    </cfRule>
    <cfRule type="cellIs" priority="1905" operator="greaterThanOrEqual">
      <formula>0</formula>
    </cfRule>
    <cfRule type="cellIs" dxfId="645" priority="1906" operator="lessThan">
      <formula>0</formula>
    </cfRule>
    <cfRule type="cellIs" dxfId="644" priority="1907" operator="lessThan">
      <formula>0</formula>
    </cfRule>
    <cfRule type="cellIs" priority="1908" operator="greaterThanOrEqual">
      <formula>0</formula>
    </cfRule>
    <cfRule type="cellIs" dxfId="643" priority="1922" operator="lessThan">
      <formula>0</formula>
    </cfRule>
    <cfRule type="cellIs" dxfId="642" priority="1923" operator="lessThan">
      <formula>0</formula>
    </cfRule>
    <cfRule type="cellIs" priority="1924" operator="greaterThanOrEqual">
      <formula>0</formula>
    </cfRule>
    <cfRule type="cellIs" priority="1925" operator="greaterThanOrEqual">
      <formula>0</formula>
    </cfRule>
    <cfRule type="cellIs" priority="1926" operator="greaterThanOrEqual">
      <formula>0</formula>
    </cfRule>
    <cfRule type="cellIs" dxfId="641" priority="1927" operator="lessThan">
      <formula>0</formula>
    </cfRule>
    <cfRule type="cellIs" dxfId="640" priority="1928" operator="lessThan">
      <formula>0</formula>
    </cfRule>
    <cfRule type="cellIs" dxfId="639" priority="1929" operator="lessThan">
      <formula>0</formula>
    </cfRule>
    <cfRule type="cellIs" dxfId="638" priority="1930" operator="lessThan">
      <formula>0</formula>
    </cfRule>
    <cfRule type="cellIs" dxfId="637" priority="1931" operator="lessThan">
      <formula>0</formula>
    </cfRule>
    <cfRule type="cellIs" priority="1932" operator="greaterThanOrEqual">
      <formula>0</formula>
    </cfRule>
    <cfRule type="cellIs" dxfId="636" priority="1933" operator="lessThan">
      <formula>0</formula>
    </cfRule>
    <cfRule type="cellIs" priority="1934" operator="greaterThanOrEqual">
      <formula>0</formula>
    </cfRule>
    <cfRule type="cellIs" priority="1935" operator="greaterThanOrEqual">
      <formula>0</formula>
    </cfRule>
    <cfRule type="cellIs" priority="1936" operator="greaterThanOrEqual">
      <formula>0</formula>
    </cfRule>
    <cfRule type="cellIs" dxfId="635" priority="1937" operator="lessThan">
      <formula>0</formula>
    </cfRule>
    <cfRule type="cellIs" priority="1938" operator="greaterThanOrEqual">
      <formula>0</formula>
    </cfRule>
    <cfRule type="cellIs" priority="1939" operator="greaterThanOrEqual">
      <formula>0</formula>
    </cfRule>
    <cfRule type="cellIs" priority="1940" operator="greaterThanOrEqual">
      <formula>0</formula>
    </cfRule>
    <cfRule type="cellIs" priority="1941" operator="greaterThanOrEqual">
      <formula>0</formula>
    </cfRule>
    <cfRule type="cellIs" dxfId="634" priority="1942" operator="lessThan">
      <formula>0</formula>
    </cfRule>
    <cfRule type="cellIs" dxfId="633" priority="1943" operator="lessThan">
      <formula>0</formula>
    </cfRule>
    <cfRule type="cellIs" dxfId="632" priority="1944" operator="lessThan">
      <formula>0</formula>
    </cfRule>
    <cfRule type="cellIs" dxfId="631" priority="1945" operator="lessThan">
      <formula>0</formula>
    </cfRule>
    <cfRule type="cellIs" dxfId="630" priority="1946" operator="lessThan">
      <formula>0</formula>
    </cfRule>
    <cfRule type="cellIs" priority="1947" operator="greaterThanOrEqual">
      <formula>0</formula>
    </cfRule>
    <cfRule type="cellIs" dxfId="629" priority="1948" operator="lessThan">
      <formula>0</formula>
    </cfRule>
    <cfRule type="cellIs" priority="1949" operator="greaterThanOrEqual">
      <formula>0</formula>
    </cfRule>
    <cfRule type="cellIs" priority="1950" operator="greaterThanOrEqual">
      <formula>0</formula>
    </cfRule>
    <cfRule type="cellIs" priority="1951" operator="greaterThanOrEqual">
      <formula>0</formula>
    </cfRule>
    <cfRule type="cellIs" priority="1952" operator="greaterThanOrEqual">
      <formula>0</formula>
    </cfRule>
    <cfRule type="cellIs" dxfId="628" priority="1953" operator="lessThan">
      <formula>0</formula>
    </cfRule>
    <cfRule type="cellIs" dxfId="627" priority="1954" operator="lessThan">
      <formula>0</formula>
    </cfRule>
    <cfRule type="cellIs" dxfId="626" priority="1955" operator="lessThan">
      <formula>0</formula>
    </cfRule>
    <cfRule type="cellIs" dxfId="625" priority="1956" operator="lessThan">
      <formula>0</formula>
    </cfRule>
    <cfRule type="cellIs" priority="1957" operator="greaterThanOrEqual">
      <formula>0</formula>
    </cfRule>
    <cfRule type="cellIs" dxfId="624" priority="1958" operator="lessThan">
      <formula>0</formula>
    </cfRule>
    <cfRule type="cellIs" priority="1959" operator="greaterThanOrEqual">
      <formula>0</formula>
    </cfRule>
    <cfRule type="cellIs" priority="1960" operator="greaterThanOrEqual">
      <formula>0</formula>
    </cfRule>
    <cfRule type="cellIs" dxfId="623" priority="1961" operator="lessThan">
      <formula>0</formula>
    </cfRule>
    <cfRule type="cellIs" dxfId="622" priority="1962" operator="lessThan">
      <formula>0</formula>
    </cfRule>
    <cfRule type="cellIs" priority="1963" operator="greaterThanOrEqual">
      <formula>0</formula>
    </cfRule>
    <cfRule type="cellIs" dxfId="621" priority="1975" operator="lessThan">
      <formula>0</formula>
    </cfRule>
    <cfRule type="cellIs" dxfId="620" priority="1976" operator="lessThan">
      <formula>0</formula>
    </cfRule>
    <cfRule type="cellIs" priority="1977" operator="greaterThanOrEqual">
      <formula>0</formula>
    </cfRule>
    <cfRule type="cellIs" priority="1978" operator="greaterThanOrEqual">
      <formula>0</formula>
    </cfRule>
    <cfRule type="cellIs" priority="1979" operator="greaterThanOrEqual">
      <formula>0</formula>
    </cfRule>
    <cfRule type="cellIs" dxfId="619" priority="1980" operator="lessThan">
      <formula>0</formula>
    </cfRule>
    <cfRule type="cellIs" dxfId="618" priority="1981" operator="lessThan">
      <formula>0</formula>
    </cfRule>
    <cfRule type="cellIs" dxfId="617" priority="1982" operator="lessThan">
      <formula>0</formula>
    </cfRule>
    <cfRule type="cellIs" dxfId="616" priority="1983" operator="lessThan">
      <formula>0</formula>
    </cfRule>
    <cfRule type="cellIs" dxfId="615" priority="1984" operator="lessThan">
      <formula>0</formula>
    </cfRule>
    <cfRule type="cellIs" priority="1985" operator="greaterThanOrEqual">
      <formula>0</formula>
    </cfRule>
    <cfRule type="cellIs" dxfId="614" priority="1986" operator="lessThan">
      <formula>0</formula>
    </cfRule>
    <cfRule type="cellIs" priority="1987" operator="greaterThanOrEqual">
      <formula>0</formula>
    </cfRule>
    <cfRule type="cellIs" priority="1988" operator="greaterThanOrEqual">
      <formula>0</formula>
    </cfRule>
    <cfRule type="cellIs" priority="1989" operator="greaterThanOrEqual">
      <formula>0</formula>
    </cfRule>
    <cfRule type="cellIs" dxfId="613" priority="1990" operator="lessThan">
      <formula>0</formula>
    </cfRule>
    <cfRule type="cellIs" priority="1991" operator="greaterThanOrEqual">
      <formula>0</formula>
    </cfRule>
    <cfRule type="cellIs" priority="1992" operator="greaterThanOrEqual">
      <formula>0</formula>
    </cfRule>
    <cfRule type="cellIs" priority="1993" operator="greaterThanOrEqual">
      <formula>0</formula>
    </cfRule>
    <cfRule type="cellIs" priority="1994" operator="greaterThanOrEqual">
      <formula>0</formula>
    </cfRule>
    <cfRule type="cellIs" dxfId="612" priority="1995" operator="lessThan">
      <formula>0</formula>
    </cfRule>
    <cfRule type="cellIs" dxfId="611" priority="1996" operator="lessThan">
      <formula>0</formula>
    </cfRule>
    <cfRule type="cellIs" dxfId="610" priority="1997" operator="lessThan">
      <formula>0</formula>
    </cfRule>
    <cfRule type="cellIs" dxfId="609" priority="1998" operator="lessThan">
      <formula>0</formula>
    </cfRule>
    <cfRule type="cellIs" dxfId="608" priority="1999" operator="lessThan">
      <formula>0</formula>
    </cfRule>
    <cfRule type="cellIs" priority="2000" operator="greaterThanOrEqual">
      <formula>0</formula>
    </cfRule>
    <cfRule type="cellIs" dxfId="607" priority="2001" operator="lessThan">
      <formula>0</formula>
    </cfRule>
    <cfRule type="cellIs" priority="2002" operator="greaterThanOrEqual">
      <formula>0</formula>
    </cfRule>
    <cfRule type="cellIs" priority="2003" operator="greaterThanOrEqual">
      <formula>0</formula>
    </cfRule>
    <cfRule type="cellIs" priority="2004" operator="greaterThanOrEqual">
      <formula>0</formula>
    </cfRule>
    <cfRule type="cellIs" priority="2005" operator="greaterThanOrEqual">
      <formula>0</formula>
    </cfRule>
    <cfRule type="cellIs" dxfId="606" priority="2006" operator="lessThan">
      <formula>0</formula>
    </cfRule>
    <cfRule type="cellIs" dxfId="605" priority="2007" operator="lessThan">
      <formula>0</formula>
    </cfRule>
    <cfRule type="cellIs" dxfId="604" priority="2008" operator="lessThan">
      <formula>0</formula>
    </cfRule>
    <cfRule type="cellIs" dxfId="603" priority="2009" operator="lessThan">
      <formula>0</formula>
    </cfRule>
    <cfRule type="cellIs" priority="2010" operator="greaterThanOrEqual">
      <formula>0</formula>
    </cfRule>
    <cfRule type="cellIs" dxfId="602" priority="2011" operator="lessThan">
      <formula>0</formula>
    </cfRule>
    <cfRule type="cellIs" priority="2012" operator="greaterThanOrEqual">
      <formula>0</formula>
    </cfRule>
    <cfRule type="cellIs" priority="2013" operator="greaterThanOrEqual">
      <formula>0</formula>
    </cfRule>
    <cfRule type="cellIs" dxfId="601" priority="2014" operator="lessThan">
      <formula>0</formula>
    </cfRule>
    <cfRule type="cellIs" dxfId="600" priority="2015" operator="lessThan">
      <formula>0</formula>
    </cfRule>
    <cfRule type="cellIs" priority="2016" operator="greaterThanOrEqual">
      <formula>0</formula>
    </cfRule>
    <cfRule type="cellIs" dxfId="599" priority="2028" operator="lessThan">
      <formula>0</formula>
    </cfRule>
    <cfRule type="cellIs" dxfId="598" priority="2029" operator="lessThan">
      <formula>0</formula>
    </cfRule>
    <cfRule type="cellIs" priority="2030" operator="greaterThanOrEqual">
      <formula>0</formula>
    </cfRule>
    <cfRule type="cellIs" priority="2031" operator="greaterThanOrEqual">
      <formula>0</formula>
    </cfRule>
    <cfRule type="cellIs" priority="2032" operator="greaterThanOrEqual">
      <formula>0</formula>
    </cfRule>
    <cfRule type="cellIs" dxfId="597" priority="2033" operator="lessThan">
      <formula>0</formula>
    </cfRule>
    <cfRule type="cellIs" dxfId="596" priority="2034" operator="lessThan">
      <formula>0</formula>
    </cfRule>
    <cfRule type="cellIs" dxfId="595" priority="2035" operator="lessThan">
      <formula>0</formula>
    </cfRule>
    <cfRule type="cellIs" dxfId="594" priority="2036" operator="lessThan">
      <formula>0</formula>
    </cfRule>
    <cfRule type="cellIs" dxfId="593" priority="2037" operator="lessThan">
      <formula>0</formula>
    </cfRule>
    <cfRule type="cellIs" priority="2038" operator="greaterThanOrEqual">
      <formula>0</formula>
    </cfRule>
    <cfRule type="cellIs" dxfId="592" priority="2039" operator="lessThan">
      <formula>0</formula>
    </cfRule>
    <cfRule type="cellIs" priority="2040" operator="greaterThanOrEqual">
      <formula>0</formula>
    </cfRule>
    <cfRule type="cellIs" priority="2041" operator="greaterThanOrEqual">
      <formula>0</formula>
    </cfRule>
    <cfRule type="cellIs" priority="2042" operator="greaterThanOrEqual">
      <formula>0</formula>
    </cfRule>
    <cfRule type="cellIs" dxfId="591" priority="2043" operator="lessThan">
      <formula>0</formula>
    </cfRule>
    <cfRule type="cellIs" priority="2044" operator="greaterThanOrEqual">
      <formula>0</formula>
    </cfRule>
    <cfRule type="cellIs" priority="2045" operator="greaterThanOrEqual">
      <formula>0</formula>
    </cfRule>
    <cfRule type="cellIs" priority="2046" operator="greaterThanOrEqual">
      <formula>0</formula>
    </cfRule>
    <cfRule type="cellIs" priority="2047" operator="greaterThanOrEqual">
      <formula>0</formula>
    </cfRule>
    <cfRule type="cellIs" dxfId="590" priority="2048" operator="lessThan">
      <formula>0</formula>
    </cfRule>
    <cfRule type="cellIs" dxfId="589" priority="2049" operator="lessThan">
      <formula>0</formula>
    </cfRule>
    <cfRule type="cellIs" dxfId="588" priority="2050" operator="lessThan">
      <formula>0</formula>
    </cfRule>
    <cfRule type="cellIs" dxfId="587" priority="2051" operator="lessThan">
      <formula>0</formula>
    </cfRule>
    <cfRule type="cellIs" dxfId="586" priority="2052" operator="lessThan">
      <formula>0</formula>
    </cfRule>
    <cfRule type="cellIs" priority="2053" operator="greaterThanOrEqual">
      <formula>0</formula>
    </cfRule>
    <cfRule type="cellIs" dxfId="585" priority="2054" operator="lessThan">
      <formula>0</formula>
    </cfRule>
    <cfRule type="cellIs" priority="2055" operator="greaterThanOrEqual">
      <formula>0</formula>
    </cfRule>
    <cfRule type="cellIs" priority="2056" operator="greaterThanOrEqual">
      <formula>0</formula>
    </cfRule>
    <cfRule type="cellIs" priority="2057" operator="greaterThanOrEqual">
      <formula>0</formula>
    </cfRule>
    <cfRule type="cellIs" priority="2058" operator="greaterThanOrEqual">
      <formula>0</formula>
    </cfRule>
    <cfRule type="cellIs" dxfId="584" priority="2059" operator="lessThan">
      <formula>0</formula>
    </cfRule>
    <cfRule type="cellIs" dxfId="583" priority="2060" operator="lessThan">
      <formula>0</formula>
    </cfRule>
    <cfRule type="cellIs" dxfId="582" priority="2061" operator="lessThan">
      <formula>0</formula>
    </cfRule>
    <cfRule type="cellIs" dxfId="581" priority="2062" operator="lessThan">
      <formula>0</formula>
    </cfRule>
    <cfRule type="cellIs" priority="2063" operator="greaterThanOrEqual">
      <formula>0</formula>
    </cfRule>
    <cfRule type="cellIs" dxfId="580" priority="2064" operator="lessThan">
      <formula>0</formula>
    </cfRule>
    <cfRule type="cellIs" priority="2065" operator="greaterThanOrEqual">
      <formula>0</formula>
    </cfRule>
    <cfRule type="cellIs" priority="2066" operator="greaterThanOrEqual">
      <formula>0</formula>
    </cfRule>
    <cfRule type="cellIs" dxfId="579" priority="2067" operator="lessThan">
      <formula>0</formula>
    </cfRule>
    <cfRule type="cellIs" dxfId="578" priority="2068" operator="lessThan">
      <formula>0</formula>
    </cfRule>
    <cfRule type="cellIs" priority="2069" operator="greaterThanOrEqual">
      <formula>0</formula>
    </cfRule>
    <cfRule type="cellIs" dxfId="577" priority="2081" operator="lessThan">
      <formula>0</formula>
    </cfRule>
    <cfRule type="cellIs" dxfId="576" priority="2082" operator="lessThan">
      <formula>0</formula>
    </cfRule>
    <cfRule type="cellIs" priority="2083" operator="greaterThanOrEqual">
      <formula>0</formula>
    </cfRule>
    <cfRule type="cellIs" priority="2084" operator="greaterThanOrEqual">
      <formula>0</formula>
    </cfRule>
    <cfRule type="cellIs" priority="2085" operator="greaterThanOrEqual">
      <formula>0</formula>
    </cfRule>
    <cfRule type="cellIs" dxfId="575" priority="2086" operator="lessThan">
      <formula>0</formula>
    </cfRule>
    <cfRule type="cellIs" dxfId="574" priority="2087" operator="lessThan">
      <formula>0</formula>
    </cfRule>
    <cfRule type="cellIs" dxfId="573" priority="2088" operator="lessThan">
      <formula>0</formula>
    </cfRule>
    <cfRule type="cellIs" dxfId="572" priority="2089" operator="lessThan">
      <formula>0</formula>
    </cfRule>
    <cfRule type="cellIs" dxfId="571" priority="2090" operator="lessThan">
      <formula>0</formula>
    </cfRule>
    <cfRule type="cellIs" priority="2091" operator="greaterThanOrEqual">
      <formula>0</formula>
    </cfRule>
    <cfRule type="cellIs" dxfId="570" priority="2092" operator="lessThan">
      <formula>0</formula>
    </cfRule>
    <cfRule type="cellIs" priority="2093" operator="greaterThanOrEqual">
      <formula>0</formula>
    </cfRule>
    <cfRule type="cellIs" priority="2094" operator="greaterThanOrEqual">
      <formula>0</formula>
    </cfRule>
    <cfRule type="cellIs" priority="2095" operator="greaterThanOrEqual">
      <formula>0</formula>
    </cfRule>
    <cfRule type="cellIs" dxfId="569" priority="2096" operator="lessThan">
      <formula>0</formula>
    </cfRule>
    <cfRule type="cellIs" priority="2097" operator="greaterThanOrEqual">
      <formula>0</formula>
    </cfRule>
    <cfRule type="cellIs" priority="2098" operator="greaterThanOrEqual">
      <formula>0</formula>
    </cfRule>
    <cfRule type="cellIs" priority="2099" operator="greaterThanOrEqual">
      <formula>0</formula>
    </cfRule>
    <cfRule type="cellIs" priority="2100" operator="greaterThanOrEqual">
      <formula>0</formula>
    </cfRule>
    <cfRule type="cellIs" dxfId="568" priority="2101" operator="lessThan">
      <formula>0</formula>
    </cfRule>
    <cfRule type="cellIs" dxfId="567" priority="2102" operator="lessThan">
      <formula>0</formula>
    </cfRule>
    <cfRule type="cellIs" dxfId="566" priority="2103" operator="lessThan">
      <formula>0</formula>
    </cfRule>
    <cfRule type="cellIs" dxfId="565" priority="2104" operator="lessThan">
      <formula>0</formula>
    </cfRule>
    <cfRule type="cellIs" dxfId="564" priority="2105" operator="lessThan">
      <formula>0</formula>
    </cfRule>
    <cfRule type="cellIs" priority="2106" operator="greaterThanOrEqual">
      <formula>0</formula>
    </cfRule>
    <cfRule type="cellIs" dxfId="563" priority="2107" operator="lessThan">
      <formula>0</formula>
    </cfRule>
    <cfRule type="cellIs" priority="2108" operator="greaterThanOrEqual">
      <formula>0</formula>
    </cfRule>
    <cfRule type="cellIs" priority="2109" operator="greaterThanOrEqual">
      <formula>0</formula>
    </cfRule>
    <cfRule type="cellIs" priority="2110" operator="greaterThanOrEqual">
      <formula>0</formula>
    </cfRule>
    <cfRule type="cellIs" priority="2111" operator="greaterThanOrEqual">
      <formula>0</formula>
    </cfRule>
    <cfRule type="cellIs" dxfId="562" priority="2112" operator="lessThan">
      <formula>0</formula>
    </cfRule>
    <cfRule type="cellIs" dxfId="561" priority="2113" operator="lessThan">
      <formula>0</formula>
    </cfRule>
    <cfRule type="cellIs" dxfId="560" priority="2114" operator="lessThan">
      <formula>0</formula>
    </cfRule>
    <cfRule type="cellIs" dxfId="559" priority="2115" operator="lessThan">
      <formula>0</formula>
    </cfRule>
    <cfRule type="cellIs" priority="2116" operator="greaterThanOrEqual">
      <formula>0</formula>
    </cfRule>
    <cfRule type="cellIs" dxfId="558" priority="2117" operator="lessThan">
      <formula>0</formula>
    </cfRule>
    <cfRule type="cellIs" priority="2118" operator="greaterThanOrEqual">
      <formula>0</formula>
    </cfRule>
    <cfRule type="cellIs" priority="2119" operator="greaterThanOrEqual">
      <formula>0</formula>
    </cfRule>
    <cfRule type="cellIs" dxfId="557" priority="2120" operator="lessThan">
      <formula>0</formula>
    </cfRule>
    <cfRule type="cellIs" dxfId="556" priority="2121" operator="lessThan">
      <formula>0</formula>
    </cfRule>
    <cfRule type="cellIs" priority="2122" operator="greaterThanOrEqual">
      <formula>0</formula>
    </cfRule>
    <cfRule type="cellIs" dxfId="555" priority="2138" operator="lessThan">
      <formula>0</formula>
    </cfRule>
    <cfRule type="cellIs" dxfId="554" priority="2139" operator="lessThan">
      <formula>0</formula>
    </cfRule>
    <cfRule type="cellIs" priority="2140" operator="greaterThanOrEqual">
      <formula>0</formula>
    </cfRule>
    <cfRule type="cellIs" priority="2141" operator="greaterThanOrEqual">
      <formula>0</formula>
    </cfRule>
    <cfRule type="cellIs" priority="2142" operator="greaterThanOrEqual">
      <formula>0</formula>
    </cfRule>
    <cfRule type="cellIs" dxfId="553" priority="2143" operator="lessThan">
      <formula>0</formula>
    </cfRule>
    <cfRule type="cellIs" dxfId="552" priority="2144" operator="lessThan">
      <formula>0</formula>
    </cfRule>
    <cfRule type="cellIs" dxfId="551" priority="2145" operator="lessThan">
      <formula>0</formula>
    </cfRule>
    <cfRule type="cellIs" dxfId="550" priority="2146" operator="lessThan">
      <formula>0</formula>
    </cfRule>
    <cfRule type="cellIs" dxfId="549" priority="2147" operator="lessThan">
      <formula>0</formula>
    </cfRule>
    <cfRule type="cellIs" priority="2148" operator="greaterThanOrEqual">
      <formula>0</formula>
    </cfRule>
    <cfRule type="cellIs" dxfId="548" priority="2149" operator="lessThan">
      <formula>0</formula>
    </cfRule>
    <cfRule type="cellIs" priority="2150" operator="greaterThanOrEqual">
      <formula>0</formula>
    </cfRule>
    <cfRule type="cellIs" priority="2151" operator="greaterThanOrEqual">
      <formula>0</formula>
    </cfRule>
    <cfRule type="cellIs" priority="2152" operator="greaterThanOrEqual">
      <formula>0</formula>
    </cfRule>
    <cfRule type="cellIs" dxfId="547" priority="2153" operator="lessThan">
      <formula>0</formula>
    </cfRule>
    <cfRule type="cellIs" priority="2154" operator="greaterThanOrEqual">
      <formula>0</formula>
    </cfRule>
    <cfRule type="cellIs" priority="2155" operator="greaterThanOrEqual">
      <formula>0</formula>
    </cfRule>
    <cfRule type="cellIs" priority="2156" operator="greaterThanOrEqual">
      <formula>0</formula>
    </cfRule>
    <cfRule type="cellIs" priority="2157" operator="greaterThanOrEqual">
      <formula>0</formula>
    </cfRule>
    <cfRule type="cellIs" dxfId="546" priority="2158" operator="lessThan">
      <formula>0</formula>
    </cfRule>
    <cfRule type="cellIs" dxfId="545" priority="2159" operator="lessThan">
      <formula>0</formula>
    </cfRule>
    <cfRule type="cellIs" dxfId="544" priority="2160" operator="lessThan">
      <formula>0</formula>
    </cfRule>
    <cfRule type="cellIs" dxfId="543" priority="2161" operator="lessThan">
      <formula>0</formula>
    </cfRule>
    <cfRule type="cellIs" dxfId="542" priority="2162" operator="lessThan">
      <formula>0</formula>
    </cfRule>
    <cfRule type="cellIs" priority="2163" operator="greaterThanOrEqual">
      <formula>0</formula>
    </cfRule>
    <cfRule type="cellIs" dxfId="541" priority="2164" operator="lessThan">
      <formula>0</formula>
    </cfRule>
    <cfRule type="cellIs" priority="2165" operator="greaterThanOrEqual">
      <formula>0</formula>
    </cfRule>
    <cfRule type="cellIs" priority="2166" operator="greaterThanOrEqual">
      <formula>0</formula>
    </cfRule>
    <cfRule type="cellIs" priority="2167" operator="greaterThanOrEqual">
      <formula>0</formula>
    </cfRule>
    <cfRule type="cellIs" priority="2168" operator="greaterThanOrEqual">
      <formula>0</formula>
    </cfRule>
    <cfRule type="cellIs" dxfId="540" priority="2169" operator="lessThan">
      <formula>0</formula>
    </cfRule>
    <cfRule type="cellIs" dxfId="539" priority="2170" operator="lessThan">
      <formula>0</formula>
    </cfRule>
    <cfRule type="cellIs" dxfId="538" priority="2171" operator="lessThan">
      <formula>0</formula>
    </cfRule>
    <cfRule type="cellIs" dxfId="537" priority="2172" operator="lessThan">
      <formula>0</formula>
    </cfRule>
    <cfRule type="cellIs" priority="2173" operator="greaterThanOrEqual">
      <formula>0</formula>
    </cfRule>
    <cfRule type="cellIs" dxfId="536" priority="2174" operator="lessThan">
      <formula>0</formula>
    </cfRule>
    <cfRule type="cellIs" priority="2175" operator="greaterThanOrEqual">
      <formula>0</formula>
    </cfRule>
    <cfRule type="cellIs" priority="2176" operator="greaterThanOrEqual">
      <formula>0</formula>
    </cfRule>
    <cfRule type="cellIs" dxfId="535" priority="2177" operator="lessThan">
      <formula>0</formula>
    </cfRule>
    <cfRule type="cellIs" dxfId="534" priority="2178" operator="lessThan">
      <formula>0</formula>
    </cfRule>
    <cfRule type="cellIs" priority="2179" operator="greaterThanOrEqual">
      <formula>0</formula>
    </cfRule>
    <cfRule type="cellIs" dxfId="533" priority="2191" operator="lessThan">
      <formula>0</formula>
    </cfRule>
    <cfRule type="cellIs" dxfId="532" priority="2192" operator="lessThan">
      <formula>0</formula>
    </cfRule>
    <cfRule type="cellIs" priority="2193" operator="greaterThanOrEqual">
      <formula>0</formula>
    </cfRule>
    <cfRule type="cellIs" priority="2194" operator="greaterThanOrEqual">
      <formula>0</formula>
    </cfRule>
    <cfRule type="cellIs" priority="2195" operator="greaterThanOrEqual">
      <formula>0</formula>
    </cfRule>
    <cfRule type="cellIs" dxfId="531" priority="2196" operator="lessThan">
      <formula>0</formula>
    </cfRule>
    <cfRule type="cellIs" dxfId="530" priority="2197" operator="lessThan">
      <formula>0</formula>
    </cfRule>
    <cfRule type="cellIs" dxfId="529" priority="2198" operator="lessThan">
      <formula>0</formula>
    </cfRule>
    <cfRule type="cellIs" dxfId="528" priority="2199" operator="lessThan">
      <formula>0</formula>
    </cfRule>
    <cfRule type="cellIs" dxfId="527" priority="2200" operator="lessThan">
      <formula>0</formula>
    </cfRule>
    <cfRule type="cellIs" priority="2201" operator="greaterThanOrEqual">
      <formula>0</formula>
    </cfRule>
    <cfRule type="cellIs" dxfId="526" priority="2202" operator="lessThan">
      <formula>0</formula>
    </cfRule>
    <cfRule type="cellIs" priority="2203" operator="greaterThanOrEqual">
      <formula>0</formula>
    </cfRule>
    <cfRule type="cellIs" priority="2204" operator="greaterThanOrEqual">
      <formula>0</formula>
    </cfRule>
    <cfRule type="cellIs" priority="2205" operator="greaterThanOrEqual">
      <formula>0</formula>
    </cfRule>
    <cfRule type="cellIs" dxfId="525" priority="2206" operator="lessThan">
      <formula>0</formula>
    </cfRule>
    <cfRule type="cellIs" priority="2207" operator="greaterThanOrEqual">
      <formula>0</formula>
    </cfRule>
    <cfRule type="cellIs" priority="2208" operator="greaterThanOrEqual">
      <formula>0</formula>
    </cfRule>
    <cfRule type="cellIs" priority="2209" operator="greaterThanOrEqual">
      <formula>0</formula>
    </cfRule>
    <cfRule type="cellIs" priority="2210" operator="greaterThanOrEqual">
      <formula>0</formula>
    </cfRule>
    <cfRule type="cellIs" dxfId="524" priority="2211" operator="lessThan">
      <formula>0</formula>
    </cfRule>
    <cfRule type="cellIs" dxfId="523" priority="2212" operator="lessThan">
      <formula>0</formula>
    </cfRule>
    <cfRule type="cellIs" dxfId="522" priority="2213" operator="lessThan">
      <formula>0</formula>
    </cfRule>
    <cfRule type="cellIs" dxfId="521" priority="2214" operator="lessThan">
      <formula>0</formula>
    </cfRule>
    <cfRule type="cellIs" dxfId="520" priority="2215" operator="lessThan">
      <formula>0</formula>
    </cfRule>
    <cfRule type="cellIs" priority="2216" operator="greaterThanOrEqual">
      <formula>0</formula>
    </cfRule>
    <cfRule type="cellIs" dxfId="519" priority="2217" operator="lessThan">
      <formula>0</formula>
    </cfRule>
    <cfRule type="cellIs" priority="2218" operator="greaterThanOrEqual">
      <formula>0</formula>
    </cfRule>
    <cfRule type="cellIs" priority="2219" operator="greaterThanOrEqual">
      <formula>0</formula>
    </cfRule>
    <cfRule type="cellIs" priority="2220" operator="greaterThanOrEqual">
      <formula>0</formula>
    </cfRule>
    <cfRule type="cellIs" dxfId="518" priority="2221" operator="lessThan">
      <formula>0</formula>
    </cfRule>
    <cfRule type="cellIs" priority="2222" operator="greaterThanOrEqual">
      <formula>0</formula>
    </cfRule>
    <cfRule type="cellIs" priority="2223" operator="greaterThanOrEqual">
      <formula>0</formula>
    </cfRule>
    <cfRule type="cellIs" priority="2224" operator="greaterThanOrEqual">
      <formula>0</formula>
    </cfRule>
    <cfRule type="cellIs" dxfId="517" priority="2225" operator="lessThan">
      <formula>0</formula>
    </cfRule>
    <cfRule type="cellIs" dxfId="516" priority="2226" operator="lessThan">
      <formula>0</formula>
    </cfRule>
    <cfRule type="cellIs" dxfId="515" priority="2227" operator="lessThan">
      <formula>0</formula>
    </cfRule>
    <cfRule type="cellIs" dxfId="514" priority="2228" operator="lessThan">
      <formula>0</formula>
    </cfRule>
    <cfRule type="cellIs" priority="2229" operator="greaterThanOrEqual">
      <formula>0</formula>
    </cfRule>
    <cfRule type="cellIs" dxfId="513" priority="2230" operator="lessThan">
      <formula>0</formula>
    </cfRule>
    <cfRule type="cellIs" priority="2231" operator="greaterThanOrEqual">
      <formula>0</formula>
    </cfRule>
    <cfRule type="cellIs" priority="2232" operator="greaterThanOrEqual">
      <formula>0</formula>
    </cfRule>
    <cfRule type="cellIs" priority="2233" operator="greaterThanOrEqual">
      <formula>0</formula>
    </cfRule>
    <cfRule type="cellIs" priority="2234" operator="greaterThanOrEqual">
      <formula>0</formula>
    </cfRule>
    <cfRule type="cellIs" priority="2235" operator="greaterThanOrEqual">
      <formula>0</formula>
    </cfRule>
    <cfRule type="cellIs" dxfId="512" priority="2236" operator="lessThan">
      <formula>0</formula>
    </cfRule>
    <cfRule type="cellIs" dxfId="511" priority="2237" operator="lessThan">
      <formula>0</formula>
    </cfRule>
    <cfRule type="cellIs" dxfId="510" priority="2238" operator="lessThan">
      <formula>0</formula>
    </cfRule>
    <cfRule type="cellIs" dxfId="509" priority="2239" operator="lessThan">
      <formula>0</formula>
    </cfRule>
    <cfRule type="cellIs" dxfId="508" priority="2240" operator="lessThan">
      <formula>0</formula>
    </cfRule>
    <cfRule type="cellIs" dxfId="507" priority="2241" operator="lessThan">
      <formula>0</formula>
    </cfRule>
    <cfRule type="cellIs" dxfId="506" priority="2242" operator="lessThan">
      <formula>0</formula>
    </cfRule>
    <cfRule type="cellIs" dxfId="505" priority="2243" operator="lessThan">
      <formula>0</formula>
    </cfRule>
    <cfRule type="cellIs" priority="2244" operator="greaterThanOrEqual">
      <formula>0</formula>
    </cfRule>
    <cfRule type="cellIs" priority="2245" operator="greaterThanOrEqual">
      <formula>0</formula>
    </cfRule>
    <cfRule type="cellIs" priority="2246" operator="greaterThanOrEqual">
      <formula>0</formula>
    </cfRule>
    <cfRule type="cellIs" priority="2247" operator="greaterThanOrEqual">
      <formula>0</formula>
    </cfRule>
    <cfRule type="cellIs" priority="2248" operator="greaterThanOrEqual">
      <formula>0</formula>
    </cfRule>
    <cfRule type="cellIs" priority="2249" operator="greaterThanOrEqual">
      <formula>0</formula>
    </cfRule>
    <cfRule type="cellIs" dxfId="504" priority="2280" operator="lessThan">
      <formula>0</formula>
    </cfRule>
    <cfRule type="cellIs" dxfId="503" priority="2281" operator="lessThan">
      <formula>0</formula>
    </cfRule>
    <cfRule type="cellIs" priority="2282" operator="greaterThanOrEqual">
      <formula>0</formula>
    </cfRule>
    <cfRule type="cellIs" priority="2283" operator="greaterThanOrEqual">
      <formula>0</formula>
    </cfRule>
    <cfRule type="cellIs" priority="2284" operator="greaterThanOrEqual">
      <formula>0</formula>
    </cfRule>
    <cfRule type="cellIs" dxfId="502" priority="2285" operator="lessThan">
      <formula>0</formula>
    </cfRule>
    <cfRule type="cellIs" dxfId="501" priority="2286" operator="lessThan">
      <formula>0</formula>
    </cfRule>
    <cfRule type="cellIs" dxfId="500" priority="2287" operator="lessThan">
      <formula>0</formula>
    </cfRule>
    <cfRule type="cellIs" dxfId="499" priority="2288" operator="lessThan">
      <formula>0</formula>
    </cfRule>
    <cfRule type="cellIs" dxfId="498" priority="2289" operator="lessThan">
      <formula>0</formula>
    </cfRule>
    <cfRule type="cellIs" priority="2290" operator="greaterThanOrEqual">
      <formula>0</formula>
    </cfRule>
    <cfRule type="cellIs" dxfId="497" priority="2291" operator="lessThan">
      <formula>0</formula>
    </cfRule>
    <cfRule type="cellIs" priority="2292" operator="greaterThanOrEqual">
      <formula>0</formula>
    </cfRule>
    <cfRule type="cellIs" priority="2293" operator="greaterThanOrEqual">
      <formula>0</formula>
    </cfRule>
    <cfRule type="cellIs" priority="2294" operator="greaterThanOrEqual">
      <formula>0</formula>
    </cfRule>
    <cfRule type="cellIs" dxfId="496" priority="2295" operator="lessThan">
      <formula>0</formula>
    </cfRule>
    <cfRule type="cellIs" priority="2296" operator="greaterThanOrEqual">
      <formula>0</formula>
    </cfRule>
    <cfRule type="cellIs" priority="2297" operator="greaterThanOrEqual">
      <formula>0</formula>
    </cfRule>
    <cfRule type="cellIs" priority="2298" operator="greaterThanOrEqual">
      <formula>0</formula>
    </cfRule>
    <cfRule type="cellIs" priority="2299" operator="greaterThanOrEqual">
      <formula>0</formula>
    </cfRule>
    <cfRule type="cellIs" dxfId="495" priority="2300" operator="lessThan">
      <formula>0</formula>
    </cfRule>
    <cfRule type="cellIs" dxfId="494" priority="2301" operator="lessThan">
      <formula>0</formula>
    </cfRule>
    <cfRule type="cellIs" dxfId="493" priority="2302" operator="lessThan">
      <formula>0</formula>
    </cfRule>
    <cfRule type="cellIs" dxfId="492" priority="2303" operator="lessThan">
      <formula>0</formula>
    </cfRule>
    <cfRule type="cellIs" dxfId="491" priority="2304" operator="lessThan">
      <formula>0</formula>
    </cfRule>
    <cfRule type="cellIs" priority="2305" operator="greaterThanOrEqual">
      <formula>0</formula>
    </cfRule>
    <cfRule type="cellIs" dxfId="490" priority="2306" operator="lessThan">
      <formula>0</formula>
    </cfRule>
    <cfRule type="cellIs" priority="2307" operator="greaterThanOrEqual">
      <formula>0</formula>
    </cfRule>
    <cfRule type="cellIs" priority="2308" operator="greaterThanOrEqual">
      <formula>0</formula>
    </cfRule>
    <cfRule type="cellIs" priority="2309" operator="greaterThanOrEqual">
      <formula>0</formula>
    </cfRule>
    <cfRule type="cellIs" dxfId="489" priority="2310" operator="lessThan">
      <formula>0</formula>
    </cfRule>
    <cfRule type="cellIs" priority="2311" operator="greaterThanOrEqual">
      <formula>0</formula>
    </cfRule>
    <cfRule type="cellIs" priority="2312" operator="greaterThanOrEqual">
      <formula>0</formula>
    </cfRule>
    <cfRule type="cellIs" priority="2313" operator="greaterThanOrEqual">
      <formula>0</formula>
    </cfRule>
    <cfRule type="cellIs" dxfId="488" priority="2314" operator="lessThan">
      <formula>0</formula>
    </cfRule>
    <cfRule type="cellIs" dxfId="487" priority="2315" operator="lessThan">
      <formula>0</formula>
    </cfRule>
    <cfRule type="cellIs" dxfId="486" priority="2316" operator="lessThan">
      <formula>0</formula>
    </cfRule>
    <cfRule type="cellIs" dxfId="485" priority="2317" operator="lessThan">
      <formula>0</formula>
    </cfRule>
    <cfRule type="cellIs" priority="2318" operator="greaterThanOrEqual">
      <formula>0</formula>
    </cfRule>
    <cfRule type="cellIs" dxfId="484" priority="2319" operator="lessThan">
      <formula>0</formula>
    </cfRule>
    <cfRule type="cellIs" priority="2320" operator="greaterThanOrEqual">
      <formula>0</formula>
    </cfRule>
    <cfRule type="cellIs" priority="2321" operator="greaterThanOrEqual">
      <formula>0</formula>
    </cfRule>
    <cfRule type="cellIs" priority="2322" operator="greaterThanOrEqual">
      <formula>0</formula>
    </cfRule>
    <cfRule type="cellIs" priority="2323" operator="greaterThanOrEqual">
      <formula>0</formula>
    </cfRule>
    <cfRule type="cellIs" priority="2324" operator="greaterThanOrEqual">
      <formula>0</formula>
    </cfRule>
    <cfRule type="cellIs" dxfId="483" priority="2325" operator="lessThan">
      <formula>0</formula>
    </cfRule>
    <cfRule type="cellIs" dxfId="482" priority="2326" operator="lessThan">
      <formula>0</formula>
    </cfRule>
    <cfRule type="cellIs" dxfId="481" priority="2327" operator="lessThan">
      <formula>0</formula>
    </cfRule>
    <cfRule type="cellIs" dxfId="480" priority="2328" operator="lessThan">
      <formula>0</formula>
    </cfRule>
    <cfRule type="cellIs" dxfId="479" priority="2329" operator="lessThan">
      <formula>0</formula>
    </cfRule>
    <cfRule type="cellIs" dxfId="478" priority="2330" operator="lessThan">
      <formula>0</formula>
    </cfRule>
    <cfRule type="cellIs" dxfId="477" priority="2331" operator="lessThan">
      <formula>0</formula>
    </cfRule>
    <cfRule type="cellIs" dxfId="476" priority="2332" operator="lessThan">
      <formula>0</formula>
    </cfRule>
    <cfRule type="cellIs" priority="2333" operator="greaterThanOrEqual">
      <formula>0</formula>
    </cfRule>
    <cfRule type="cellIs" priority="2334" operator="greaterThanOrEqual">
      <formula>0</formula>
    </cfRule>
    <cfRule type="cellIs" priority="2335" operator="greaterThanOrEqual">
      <formula>0</formula>
    </cfRule>
    <cfRule type="cellIs" priority="2336" operator="greaterThanOrEqual">
      <formula>0</formula>
    </cfRule>
    <cfRule type="cellIs" priority="2337" operator="greaterThanOrEqual">
      <formula>0</formula>
    </cfRule>
    <cfRule type="cellIs" priority="2338" operator="greaterThanOrEqual">
      <formula>0</formula>
    </cfRule>
    <cfRule type="cellIs" priority="2339" operator="greaterThanOrEqual">
      <formula>0</formula>
    </cfRule>
    <cfRule type="cellIs" dxfId="475" priority="2340" operator="lessThan">
      <formula>0</formula>
    </cfRule>
    <cfRule type="cellIs" dxfId="474" priority="2341" operator="lessThan">
      <formula>0</formula>
    </cfRule>
    <cfRule type="cellIs" priority="2342" operator="greaterThanOrEqual">
      <formula>0</formula>
    </cfRule>
    <cfRule type="cellIs" priority="2343" operator="greaterThanOrEqual">
      <formula>0</formula>
    </cfRule>
    <cfRule type="cellIs" priority="2344" operator="greaterThanOrEqual">
      <formula>0</formula>
    </cfRule>
    <cfRule type="cellIs" dxfId="473" priority="2345" operator="lessThan">
      <formula>0</formula>
    </cfRule>
    <cfRule type="cellIs" dxfId="472" priority="2346" operator="lessThan">
      <formula>0</formula>
    </cfRule>
    <cfRule type="cellIs" dxfId="471" priority="2347" operator="lessThan">
      <formula>0</formula>
    </cfRule>
    <cfRule type="cellIs" dxfId="470" priority="2348" operator="lessThan">
      <formula>0</formula>
    </cfRule>
    <cfRule type="cellIs" dxfId="469" priority="2349" operator="lessThan">
      <formula>0</formula>
    </cfRule>
    <cfRule type="cellIs" priority="2350" operator="greaterThanOrEqual">
      <formula>0</formula>
    </cfRule>
    <cfRule type="cellIs" dxfId="468" priority="2351" operator="lessThan">
      <formula>0</formula>
    </cfRule>
    <cfRule type="cellIs" priority="2352" operator="greaterThanOrEqual">
      <formula>0</formula>
    </cfRule>
    <cfRule type="cellIs" priority="2353" operator="greaterThanOrEqual">
      <formula>0</formula>
    </cfRule>
    <cfRule type="cellIs" priority="2354" operator="greaterThanOrEqual">
      <formula>0</formula>
    </cfRule>
    <cfRule type="cellIs" dxfId="467" priority="2355" operator="lessThan">
      <formula>0</formula>
    </cfRule>
    <cfRule type="cellIs" priority="2356" operator="greaterThanOrEqual">
      <formula>0</formula>
    </cfRule>
    <cfRule type="cellIs" priority="2357" operator="greaterThanOrEqual">
      <formula>0</formula>
    </cfRule>
    <cfRule type="cellIs" priority="2358" operator="greaterThanOrEqual">
      <formula>0</formula>
    </cfRule>
    <cfRule type="cellIs" priority="2359" operator="greaterThanOrEqual">
      <formula>0</formula>
    </cfRule>
    <cfRule type="cellIs" dxfId="466" priority="2360" operator="lessThan">
      <formula>0</formula>
    </cfRule>
    <cfRule type="cellIs" dxfId="465" priority="2361" operator="lessThan">
      <formula>0</formula>
    </cfRule>
    <cfRule type="cellIs" dxfId="464" priority="2362" operator="lessThan">
      <formula>0</formula>
    </cfRule>
    <cfRule type="cellIs" dxfId="463" priority="2363" operator="lessThan">
      <formula>0</formula>
    </cfRule>
    <cfRule type="cellIs" dxfId="462" priority="2364" operator="lessThan">
      <formula>0</formula>
    </cfRule>
    <cfRule type="cellIs" priority="2365" operator="greaterThanOrEqual">
      <formula>0</formula>
    </cfRule>
    <cfRule type="cellIs" dxfId="461" priority="2366" operator="lessThan">
      <formula>0</formula>
    </cfRule>
    <cfRule type="cellIs" priority="2367" operator="greaterThanOrEqual">
      <formula>0</formula>
    </cfRule>
    <cfRule type="cellIs" priority="2368" operator="greaterThanOrEqual">
      <formula>0</formula>
    </cfRule>
    <cfRule type="cellIs" priority="2369" operator="greaterThanOrEqual">
      <formula>0</formula>
    </cfRule>
    <cfRule type="cellIs" dxfId="460" priority="2370" operator="lessThan">
      <formula>0</formula>
    </cfRule>
    <cfRule type="cellIs" dxfId="459" priority="2371" operator="lessThan">
      <formula>0</formula>
    </cfRule>
    <cfRule type="cellIs" priority="2372" operator="greaterThanOrEqual">
      <formula>0</formula>
    </cfRule>
    <cfRule type="cellIs" dxfId="458" priority="2373" operator="lessThan">
      <formula>0</formula>
    </cfRule>
    <cfRule type="cellIs" priority="2374" operator="greaterThanOrEqual">
      <formula>0</formula>
    </cfRule>
    <cfRule type="cellIs" priority="2375" operator="greaterThanOrEqual">
      <formula>0</formula>
    </cfRule>
    <cfRule type="cellIs" priority="2376" operator="greaterThanOrEqual">
      <formula>0</formula>
    </cfRule>
    <cfRule type="cellIs" dxfId="457" priority="2377" operator="lessThan">
      <formula>0</formula>
    </cfRule>
    <cfRule type="cellIs" dxfId="456" priority="2378" operator="lessThan">
      <formula>0</formula>
    </cfRule>
    <cfRule type="cellIs" priority="2379" operator="greaterThanOrEqual">
      <formula>0</formula>
    </cfRule>
    <cfRule type="cellIs" priority="2380" operator="greaterThanOrEqual">
      <formula>0</formula>
    </cfRule>
    <cfRule type="cellIs" priority="2381" operator="greaterThanOrEqual">
      <formula>0</formula>
    </cfRule>
    <cfRule type="cellIs" priority="2382" operator="greaterThanOrEqual">
      <formula>0</formula>
    </cfRule>
    <cfRule type="cellIs" priority="2383" operator="greaterThanOrEqual">
      <formula>0</formula>
    </cfRule>
    <cfRule type="cellIs" priority="2384" operator="greaterThanOrEqual">
      <formula>0</formula>
    </cfRule>
    <cfRule type="cellIs" priority="2385" operator="greaterThanOrEqual">
      <formula>0</formula>
    </cfRule>
    <cfRule type="cellIs" dxfId="455" priority="2398" operator="lessThan">
      <formula>0</formula>
    </cfRule>
    <cfRule type="cellIs" priority="2399" operator="greaterThanOrEqual">
      <formula>0</formula>
    </cfRule>
    <cfRule type="cellIs" priority="2400" operator="greaterThanOrEqual">
      <formula>0</formula>
    </cfRule>
    <cfRule type="cellIs" priority="2401" operator="greaterThanOrEqual">
      <formula>0</formula>
    </cfRule>
    <cfRule type="cellIs" dxfId="454" priority="2402" operator="lessThan">
      <formula>0</formula>
    </cfRule>
    <cfRule type="cellIs" dxfId="453" priority="2403" operator="lessThan">
      <formula>0</formula>
    </cfRule>
    <cfRule type="cellIs" dxfId="452" priority="2404" operator="lessThan">
      <formula>0</formula>
    </cfRule>
    <cfRule type="cellIs" dxfId="451" priority="2405" operator="lessThan">
      <formula>0</formula>
    </cfRule>
    <cfRule type="cellIs" priority="2406" operator="greaterThanOrEqual">
      <formula>0</formula>
    </cfRule>
    <cfRule type="cellIs" dxfId="450" priority="2407" operator="lessThan">
      <formula>0</formula>
    </cfRule>
    <cfRule type="cellIs" priority="2408" operator="greaterThanOrEqual">
      <formula>0</formula>
    </cfRule>
    <cfRule type="cellIs" priority="2409" operator="greaterThanOrEqual">
      <formula>0</formula>
    </cfRule>
    <cfRule type="cellIs" priority="2410" operator="greaterThanOrEqual">
      <formula>0</formula>
    </cfRule>
    <cfRule type="cellIs" priority="2411" operator="greaterThanOrEqual">
      <formula>0</formula>
    </cfRule>
    <cfRule type="cellIs" priority="2412" operator="greaterThanOrEqual">
      <formula>0</formula>
    </cfRule>
    <cfRule type="cellIs" dxfId="449" priority="2413" operator="lessThan">
      <formula>0</formula>
    </cfRule>
    <cfRule type="cellIs" dxfId="448" priority="2414" operator="lessThan">
      <formula>0</formula>
    </cfRule>
    <cfRule type="cellIs" dxfId="447" priority="2415" operator="lessThan">
      <formula>0</formula>
    </cfRule>
    <cfRule type="cellIs" dxfId="446" priority="2416" operator="lessThan">
      <formula>0</formula>
    </cfRule>
    <cfRule type="cellIs" dxfId="445" priority="2417" operator="lessThan">
      <formula>0</formula>
    </cfRule>
    <cfRule type="cellIs" dxfId="444" priority="2418" operator="lessThan">
      <formula>0</formula>
    </cfRule>
    <cfRule type="cellIs" dxfId="443" priority="2419" operator="lessThan">
      <formula>0</formula>
    </cfRule>
    <cfRule type="cellIs" dxfId="442" priority="2420" operator="lessThan">
      <formula>0</formula>
    </cfRule>
    <cfRule type="cellIs" priority="2421" operator="greaterThanOrEqual">
      <formula>0</formula>
    </cfRule>
    <cfRule type="cellIs" priority="2422" operator="greaterThanOrEqual">
      <formula>0</formula>
    </cfRule>
    <cfRule type="cellIs" priority="2423" operator="greaterThanOrEqual">
      <formula>0</formula>
    </cfRule>
    <cfRule type="cellIs" priority="2424" operator="greaterThanOrEqual">
      <formula>0</formula>
    </cfRule>
    <cfRule type="cellIs" priority="2425" operator="greaterThanOrEqual">
      <formula>0</formula>
    </cfRule>
    <cfRule type="cellIs" priority="2426" operator="greaterThanOrEqual">
      <formula>0</formula>
    </cfRule>
    <cfRule type="cellIs" priority="2427" operator="greaterThanOrEqual">
      <formula>0</formula>
    </cfRule>
    <cfRule type="cellIs" dxfId="441" priority="2458" operator="lessThan">
      <formula>0</formula>
    </cfRule>
    <cfRule type="cellIs" priority="2459" operator="greaterThanOrEqual">
      <formula>0</formula>
    </cfRule>
    <cfRule type="cellIs" priority="2460" operator="greaterThanOrEqual">
      <formula>0</formula>
    </cfRule>
    <cfRule type="cellIs" priority="2461" operator="greaterThanOrEqual">
      <formula>0</formula>
    </cfRule>
    <cfRule type="cellIs" dxfId="440" priority="2462" operator="lessThan">
      <formula>0</formula>
    </cfRule>
    <cfRule type="cellIs" dxfId="439" priority="2463" operator="lessThan">
      <formula>0</formula>
    </cfRule>
    <cfRule type="cellIs" dxfId="438" priority="2464" operator="lessThan">
      <formula>0</formula>
    </cfRule>
    <cfRule type="cellIs" dxfId="437" priority="2465" operator="lessThan">
      <formula>0</formula>
    </cfRule>
    <cfRule type="cellIs" priority="2466" operator="greaterThanOrEqual">
      <formula>0</formula>
    </cfRule>
    <cfRule type="cellIs" dxfId="436" priority="2467" operator="lessThan">
      <formula>0</formula>
    </cfRule>
    <cfRule type="cellIs" priority="2468" operator="greaterThanOrEqual">
      <formula>0</formula>
    </cfRule>
    <cfRule type="cellIs" priority="2469" operator="greaterThanOrEqual">
      <formula>0</formula>
    </cfRule>
    <cfRule type="cellIs" priority="2470" operator="greaterThanOrEqual">
      <formula>0</formula>
    </cfRule>
    <cfRule type="cellIs" priority="2471" operator="greaterThanOrEqual">
      <formula>0</formula>
    </cfRule>
    <cfRule type="cellIs" priority="2472" operator="greaterThanOrEqual">
      <formula>0</formula>
    </cfRule>
    <cfRule type="cellIs" dxfId="435" priority="2473" operator="lessThan">
      <formula>0</formula>
    </cfRule>
    <cfRule type="cellIs" dxfId="434" priority="2474" operator="lessThan">
      <formula>0</formula>
    </cfRule>
    <cfRule type="cellIs" dxfId="433" priority="2475" operator="lessThan">
      <formula>0</formula>
    </cfRule>
    <cfRule type="cellIs" dxfId="432" priority="2476" operator="lessThan">
      <formula>0</formula>
    </cfRule>
    <cfRule type="cellIs" dxfId="431" priority="2477" operator="lessThan">
      <formula>0</formula>
    </cfRule>
    <cfRule type="cellIs" dxfId="430" priority="2478" operator="lessThan">
      <formula>0</formula>
    </cfRule>
    <cfRule type="cellIs" dxfId="429" priority="2479" operator="lessThan">
      <formula>0</formula>
    </cfRule>
    <cfRule type="cellIs" dxfId="428" priority="2480" operator="lessThan">
      <formula>0</formula>
    </cfRule>
    <cfRule type="cellIs" priority="2481" operator="greaterThanOrEqual">
      <formula>0</formula>
    </cfRule>
    <cfRule type="cellIs" priority="2482" operator="greaterThanOrEqual">
      <formula>0</formula>
    </cfRule>
    <cfRule type="cellIs" priority="2483" operator="greaterThanOrEqual">
      <formula>0</formula>
    </cfRule>
    <cfRule type="cellIs" priority="2484" operator="greaterThanOrEqual">
      <formula>0</formula>
    </cfRule>
    <cfRule type="cellIs" priority="2485" operator="greaterThanOrEqual">
      <formula>0</formula>
    </cfRule>
    <cfRule type="cellIs" priority="2486" operator="greaterThanOrEqual">
      <formula>0</formula>
    </cfRule>
    <cfRule type="cellIs" priority="2487" operator="greaterThanOrEqual">
      <formula>0</formula>
    </cfRule>
    <cfRule type="cellIs" dxfId="427" priority="2520" operator="lessThan">
      <formula>0</formula>
    </cfRule>
    <cfRule type="cellIs" dxfId="426" priority="2521" operator="lessThan">
      <formula>0</formula>
    </cfRule>
    <cfRule type="cellIs" dxfId="425" priority="2522" operator="lessThan">
      <formula>0</formula>
    </cfRule>
    <cfRule type="cellIs" dxfId="424" priority="2523" operator="lessThan">
      <formula>0</formula>
    </cfRule>
    <cfRule type="cellIs" dxfId="423" priority="2524" operator="lessThan">
      <formula>0</formula>
    </cfRule>
    <cfRule type="cellIs" dxfId="422" priority="2525" operator="lessThan">
      <formula>0</formula>
    </cfRule>
    <cfRule type="cellIs" dxfId="421" priority="2526" operator="lessThan">
      <formula>0</formula>
    </cfRule>
    <cfRule type="cellIs" dxfId="420" priority="2527" operator="lessThan">
      <formula>0</formula>
    </cfRule>
    <cfRule type="cellIs" dxfId="419" priority="2528" operator="lessThan">
      <formula>0</formula>
    </cfRule>
    <cfRule type="cellIs" dxfId="418" priority="2529" operator="lessThan">
      <formula>0</formula>
    </cfRule>
    <cfRule type="cellIs" dxfId="417" priority="2530" operator="lessThan">
      <formula>0</formula>
    </cfRule>
    <cfRule type="cellIs" dxfId="416" priority="2531" operator="lessThan">
      <formula>0</formula>
    </cfRule>
    <cfRule type="cellIs" dxfId="415" priority="2532" operator="lessThan">
      <formula>0</formula>
    </cfRule>
    <cfRule type="cellIs" dxfId="414" priority="2533" operator="lessThan">
      <formula>0</formula>
    </cfRule>
    <cfRule type="cellIs" priority="854" operator="greaterThanOrEqual">
      <formula>0</formula>
    </cfRule>
    <cfRule type="cellIs" dxfId="413" priority="853" operator="lessThan">
      <formula>0</formula>
    </cfRule>
    <cfRule type="cellIs" priority="852" operator="greaterThanOrEqual">
      <formula>0</formula>
    </cfRule>
    <cfRule type="cellIs" dxfId="412" priority="851" operator="lessThan">
      <formula>0</formula>
    </cfRule>
    <cfRule type="cellIs" priority="850" operator="greaterThanOrEqual">
      <formula>0</formula>
    </cfRule>
    <cfRule type="cellIs" dxfId="411" priority="849" operator="lessThan">
      <formula>0</formula>
    </cfRule>
    <cfRule type="cellIs" priority="848" operator="greaterThanOrEqual">
      <formula>0</formula>
    </cfRule>
    <cfRule type="cellIs" dxfId="410" priority="847" operator="lessThan">
      <formula>0</formula>
    </cfRule>
    <cfRule type="cellIs" dxfId="409" priority="846" operator="lessThan">
      <formula>0</formula>
    </cfRule>
    <cfRule type="cellIs" dxfId="408" priority="845" operator="lessThan">
      <formula>0</formula>
    </cfRule>
    <cfRule type="cellIs" priority="844" operator="greaterThanOrEqual">
      <formula>0</formula>
    </cfRule>
    <cfRule type="cellIs" dxfId="407" priority="843" operator="lessThan">
      <formula>0</formula>
    </cfRule>
    <cfRule type="cellIs" priority="842" operator="greaterThanOrEqual">
      <formula>0</formula>
    </cfRule>
    <cfRule type="cellIs" priority="841" operator="greaterThanOrEqual">
      <formula>0</formula>
    </cfRule>
    <cfRule type="cellIs" priority="840" operator="greaterThanOrEqual">
      <formula>0</formula>
    </cfRule>
    <cfRule type="cellIs" dxfId="406" priority="839" operator="lessThan">
      <formula>0</formula>
    </cfRule>
    <cfRule type="cellIs" priority="838" operator="greaterThanOrEqual">
      <formula>0</formula>
    </cfRule>
    <cfRule type="cellIs" dxfId="405" priority="837" operator="lessThan">
      <formula>0</formula>
    </cfRule>
    <cfRule type="cellIs" dxfId="404" priority="836" operator="lessThan">
      <formula>0</formula>
    </cfRule>
    <cfRule type="cellIs" dxfId="403" priority="835" operator="lessThan">
      <formula>0</formula>
    </cfRule>
    <cfRule type="cellIs" dxfId="402" priority="834" operator="lessThan">
      <formula>0</formula>
    </cfRule>
    <cfRule type="cellIs" dxfId="401" priority="833" operator="lessThan">
      <formula>0</formula>
    </cfRule>
    <cfRule type="cellIs" priority="832" operator="greaterThanOrEqual">
      <formula>0</formula>
    </cfRule>
    <cfRule type="cellIs" priority="831" operator="greaterThanOrEqual">
      <formula>0</formula>
    </cfRule>
    <cfRule type="cellIs" priority="830" operator="greaterThanOrEqual">
      <formula>0</formula>
    </cfRule>
    <cfRule type="cellIs" priority="829" operator="greaterThanOrEqual">
      <formula>0</formula>
    </cfRule>
    <cfRule type="cellIs" dxfId="400" priority="828" operator="lessThan">
      <formula>0</formula>
    </cfRule>
    <cfRule type="cellIs" priority="827" operator="greaterThanOrEqual">
      <formula>0</formula>
    </cfRule>
    <cfRule type="cellIs" priority="826" operator="greaterThanOrEqual">
      <formula>0</formula>
    </cfRule>
    <cfRule type="cellIs" priority="825" operator="greaterThanOrEqual">
      <formula>0</formula>
    </cfRule>
    <cfRule type="cellIs" dxfId="399" priority="824" operator="lessThan">
      <formula>0</formula>
    </cfRule>
    <cfRule type="cellIs" priority="823" operator="greaterThanOrEqual">
      <formula>0</formula>
    </cfRule>
    <cfRule type="cellIs" dxfId="398" priority="822" operator="lessThan">
      <formula>0</formula>
    </cfRule>
    <cfRule type="cellIs" dxfId="397" priority="821" operator="lessThan">
      <formula>0</formula>
    </cfRule>
    <cfRule type="cellIs" dxfId="396" priority="820" operator="lessThan">
      <formula>0</formula>
    </cfRule>
    <cfRule type="cellIs" dxfId="395" priority="819" operator="lessThan">
      <formula>0</formula>
    </cfRule>
    <cfRule type="cellIs" dxfId="394" priority="818" operator="lessThan">
      <formula>0</formula>
    </cfRule>
    <cfRule type="cellIs" priority="817" operator="greaterThanOrEqual">
      <formula>0</formula>
    </cfRule>
    <cfRule type="cellIs" priority="816" operator="greaterThanOrEqual">
      <formula>0</formula>
    </cfRule>
    <cfRule type="cellIs" priority="815" operator="greaterThanOrEqual">
      <formula>0</formula>
    </cfRule>
    <cfRule type="cellIs" dxfId="393" priority="814" operator="lessThan">
      <formula>0</formula>
    </cfRule>
    <cfRule type="cellIs" dxfId="392" priority="813" operator="lessThan">
      <formula>0</formula>
    </cfRule>
    <cfRule type="cellIs" priority="781" operator="greaterThanOrEqual">
      <formula>0</formula>
    </cfRule>
    <cfRule type="cellIs" dxfId="391" priority="780" operator="lessThan">
      <formula>0</formula>
    </cfRule>
    <cfRule type="cellIs" priority="779" operator="greaterThanOrEqual">
      <formula>0</formula>
    </cfRule>
    <cfRule type="cellIs" dxfId="390" priority="778" operator="lessThan">
      <formula>0</formula>
    </cfRule>
    <cfRule type="cellIs" priority="777" operator="greaterThanOrEqual">
      <formula>0</formula>
    </cfRule>
    <cfRule type="cellIs" dxfId="389" priority="776" operator="lessThan">
      <formula>0</formula>
    </cfRule>
    <cfRule type="cellIs" priority="775" operator="greaterThanOrEqual">
      <formula>0</formula>
    </cfRule>
    <cfRule type="cellIs" dxfId="388" priority="774" operator="lessThan">
      <formula>0</formula>
    </cfRule>
    <cfRule type="cellIs" dxfId="387" priority="773" operator="lessThan">
      <formula>0</formula>
    </cfRule>
    <cfRule type="cellIs" dxfId="386" priority="772" operator="lessThan">
      <formula>0</formula>
    </cfRule>
    <cfRule type="cellIs" priority="771" operator="greaterThanOrEqual">
      <formula>0</formula>
    </cfRule>
    <cfRule type="cellIs" dxfId="385" priority="770" operator="lessThan">
      <formula>0</formula>
    </cfRule>
    <cfRule type="cellIs" priority="769" operator="greaterThanOrEqual">
      <formula>0</formula>
    </cfRule>
    <cfRule type="cellIs" priority="768" operator="greaterThanOrEqual">
      <formula>0</formula>
    </cfRule>
    <cfRule type="cellIs" priority="767" operator="greaterThanOrEqual">
      <formula>0</formula>
    </cfRule>
    <cfRule type="cellIs" dxfId="384" priority="766" operator="lessThan">
      <formula>0</formula>
    </cfRule>
    <cfRule type="cellIs" priority="765" operator="greaterThanOrEqual">
      <formula>0</formula>
    </cfRule>
    <cfRule type="cellIs" dxfId="383" priority="764" operator="lessThan">
      <formula>0</formula>
    </cfRule>
    <cfRule type="cellIs" dxfId="382" priority="763" operator="lessThan">
      <formula>0</formula>
    </cfRule>
    <cfRule type="cellIs" dxfId="381" priority="762" operator="lessThan">
      <formula>0</formula>
    </cfRule>
    <cfRule type="cellIs" dxfId="380" priority="761" operator="lessThan">
      <formula>0</formula>
    </cfRule>
    <cfRule type="cellIs" dxfId="379" priority="760" operator="lessThan">
      <formula>0</formula>
    </cfRule>
    <cfRule type="cellIs" priority="759" operator="greaterThanOrEqual">
      <formula>0</formula>
    </cfRule>
    <cfRule type="cellIs" priority="758" operator="greaterThanOrEqual">
      <formula>0</formula>
    </cfRule>
    <cfRule type="cellIs" priority="757" operator="greaterThanOrEqual">
      <formula>0</formula>
    </cfRule>
    <cfRule type="cellIs" priority="756" operator="greaterThanOrEqual">
      <formula>0</formula>
    </cfRule>
    <cfRule type="cellIs" dxfId="378" priority="755" operator="lessThan">
      <formula>0</formula>
    </cfRule>
    <cfRule type="cellIs" priority="754" operator="greaterThanOrEqual">
      <formula>0</formula>
    </cfRule>
    <cfRule type="cellIs" priority="753" operator="greaterThanOrEqual">
      <formula>0</formula>
    </cfRule>
    <cfRule type="cellIs" priority="752" operator="greaterThanOrEqual">
      <formula>0</formula>
    </cfRule>
    <cfRule type="cellIs" dxfId="377" priority="751" operator="lessThan">
      <formula>0</formula>
    </cfRule>
    <cfRule type="cellIs" priority="750" operator="greaterThanOrEqual">
      <formula>0</formula>
    </cfRule>
    <cfRule type="cellIs" dxfId="376" priority="749" operator="lessThan">
      <formula>0</formula>
    </cfRule>
    <cfRule type="cellIs" dxfId="375" priority="748" operator="lessThan">
      <formula>0</formula>
    </cfRule>
    <cfRule type="cellIs" dxfId="374" priority="747" operator="lessThan">
      <formula>0</formula>
    </cfRule>
    <cfRule type="cellIs" dxfId="373" priority="746" operator="lessThan">
      <formula>0</formula>
    </cfRule>
    <cfRule type="cellIs" dxfId="372" priority="745" operator="lessThan">
      <formula>0</formula>
    </cfRule>
    <cfRule type="cellIs" priority="744" operator="greaterThanOrEqual">
      <formula>0</formula>
    </cfRule>
    <cfRule type="cellIs" priority="743" operator="greaterThanOrEqual">
      <formula>0</formula>
    </cfRule>
    <cfRule type="cellIs" priority="742" operator="greaterThanOrEqual">
      <formula>0</formula>
    </cfRule>
    <cfRule type="cellIs" dxfId="371" priority="741" operator="lessThan">
      <formula>0</formula>
    </cfRule>
    <cfRule type="cellIs" dxfId="370" priority="740" operator="lessThan">
      <formula>0</formula>
    </cfRule>
    <cfRule type="cellIs" priority="708" operator="greaterThanOrEqual">
      <formula>0</formula>
    </cfRule>
    <cfRule type="cellIs" dxfId="369" priority="707" operator="lessThan">
      <formula>0</formula>
    </cfRule>
    <cfRule type="cellIs" priority="706" operator="greaterThanOrEqual">
      <formula>0</formula>
    </cfRule>
    <cfRule type="cellIs" dxfId="368" priority="705" operator="lessThan">
      <formula>0</formula>
    </cfRule>
    <cfRule type="cellIs" priority="704" operator="greaterThanOrEqual">
      <formula>0</formula>
    </cfRule>
    <cfRule type="cellIs" dxfId="367" priority="703" operator="lessThan">
      <formula>0</formula>
    </cfRule>
    <cfRule type="cellIs" priority="702" operator="greaterThanOrEqual">
      <formula>0</formula>
    </cfRule>
    <cfRule type="cellIs" dxfId="366" priority="701" operator="lessThan">
      <formula>0</formula>
    </cfRule>
    <cfRule type="cellIs" dxfId="365" priority="700" operator="lessThan">
      <formula>0</formula>
    </cfRule>
    <cfRule type="cellIs" dxfId="364" priority="699" operator="lessThan">
      <formula>0</formula>
    </cfRule>
    <cfRule type="cellIs" priority="698" operator="greaterThanOrEqual">
      <formula>0</formula>
    </cfRule>
    <cfRule type="cellIs" dxfId="363" priority="697" operator="lessThan">
      <formula>0</formula>
    </cfRule>
    <cfRule type="cellIs" priority="696" operator="greaterThanOrEqual">
      <formula>0</formula>
    </cfRule>
    <cfRule type="cellIs" priority="695" operator="greaterThanOrEqual">
      <formula>0</formula>
    </cfRule>
    <cfRule type="cellIs" priority="694" operator="greaterThanOrEqual">
      <formula>0</formula>
    </cfRule>
    <cfRule type="cellIs" dxfId="362" priority="693" operator="lessThan">
      <formula>0</formula>
    </cfRule>
    <cfRule type="cellIs" priority="692" operator="greaterThanOrEqual">
      <formula>0</formula>
    </cfRule>
    <cfRule type="cellIs" dxfId="361" priority="691" operator="lessThan">
      <formula>0</formula>
    </cfRule>
    <cfRule type="cellIs" dxfId="360" priority="690" operator="lessThan">
      <formula>0</formula>
    </cfRule>
    <cfRule type="cellIs" dxfId="359" priority="689" operator="lessThan">
      <formula>0</formula>
    </cfRule>
    <cfRule type="cellIs" dxfId="358" priority="688" operator="lessThan">
      <formula>0</formula>
    </cfRule>
    <cfRule type="cellIs" dxfId="357" priority="687" operator="lessThan">
      <formula>0</formula>
    </cfRule>
    <cfRule type="cellIs" priority="686" operator="greaterThanOrEqual">
      <formula>0</formula>
    </cfRule>
    <cfRule type="cellIs" priority="685" operator="greaterThanOrEqual">
      <formula>0</formula>
    </cfRule>
    <cfRule type="cellIs" priority="684" operator="greaterThanOrEqual">
      <formula>0</formula>
    </cfRule>
    <cfRule type="cellIs" priority="683" operator="greaterThanOrEqual">
      <formula>0</formula>
    </cfRule>
    <cfRule type="cellIs" dxfId="356" priority="682" operator="lessThan">
      <formula>0</formula>
    </cfRule>
    <cfRule type="cellIs" priority="681" operator="greaterThanOrEqual">
      <formula>0</formula>
    </cfRule>
    <cfRule type="cellIs" priority="680" operator="greaterThanOrEqual">
      <formula>0</formula>
    </cfRule>
    <cfRule type="cellIs" priority="679" operator="greaterThanOrEqual">
      <formula>0</formula>
    </cfRule>
    <cfRule type="cellIs" dxfId="355" priority="678" operator="lessThan">
      <formula>0</formula>
    </cfRule>
    <cfRule type="cellIs" priority="677" operator="greaterThanOrEqual">
      <formula>0</formula>
    </cfRule>
    <cfRule type="cellIs" dxfId="354" priority="676" operator="lessThan">
      <formula>0</formula>
    </cfRule>
    <cfRule type="cellIs" dxfId="353" priority="675" operator="lessThan">
      <formula>0</formula>
    </cfRule>
    <cfRule type="cellIs" dxfId="352" priority="674" operator="lessThan">
      <formula>0</formula>
    </cfRule>
    <cfRule type="cellIs" dxfId="351" priority="673" operator="lessThan">
      <formula>0</formula>
    </cfRule>
    <cfRule type="cellIs" dxfId="350" priority="672" operator="lessThan">
      <formula>0</formula>
    </cfRule>
    <cfRule type="cellIs" priority="671" operator="greaterThanOrEqual">
      <formula>0</formula>
    </cfRule>
    <cfRule type="cellIs" priority="670" operator="greaterThanOrEqual">
      <formula>0</formula>
    </cfRule>
    <cfRule type="cellIs" priority="669" operator="greaterThanOrEqual">
      <formula>0</formula>
    </cfRule>
    <cfRule type="cellIs" dxfId="349" priority="668" operator="lessThan">
      <formula>0</formula>
    </cfRule>
    <cfRule type="cellIs" dxfId="348" priority="667" operator="lessThan">
      <formula>0</formula>
    </cfRule>
    <cfRule type="cellIs" priority="631" operator="greaterThanOrEqual">
      <formula>0</formula>
    </cfRule>
    <cfRule type="cellIs" dxfId="347" priority="630" operator="lessThan">
      <formula>0</formula>
    </cfRule>
    <cfRule type="cellIs" priority="629" operator="greaterThanOrEqual">
      <formula>0</formula>
    </cfRule>
    <cfRule type="cellIs" dxfId="346" priority="628" operator="lessThan">
      <formula>0</formula>
    </cfRule>
    <cfRule type="cellIs" priority="627" operator="greaterThanOrEqual">
      <formula>0</formula>
    </cfRule>
    <cfRule type="cellIs" dxfId="345" priority="626" operator="lessThan">
      <formula>0</formula>
    </cfRule>
    <cfRule type="cellIs" priority="625" operator="greaterThanOrEqual">
      <formula>0</formula>
    </cfRule>
    <cfRule type="cellIs" dxfId="344" priority="624" operator="lessThan">
      <formula>0</formula>
    </cfRule>
    <cfRule type="cellIs" dxfId="343" priority="623" operator="lessThan">
      <formula>0</formula>
    </cfRule>
    <cfRule type="cellIs" dxfId="342" priority="622" operator="lessThan">
      <formula>0</formula>
    </cfRule>
    <cfRule type="cellIs" priority="621" operator="greaterThanOrEqual">
      <formula>0</formula>
    </cfRule>
    <cfRule type="cellIs" dxfId="341" priority="620" operator="lessThan">
      <formula>0</formula>
    </cfRule>
    <cfRule type="cellIs" priority="619" operator="greaterThanOrEqual">
      <formula>0</formula>
    </cfRule>
    <cfRule type="cellIs" priority="618" operator="greaterThanOrEqual">
      <formula>0</formula>
    </cfRule>
    <cfRule type="cellIs" priority="617" operator="greaterThanOrEqual">
      <formula>0</formula>
    </cfRule>
    <cfRule type="cellIs" dxfId="340" priority="616" operator="lessThan">
      <formula>0</formula>
    </cfRule>
    <cfRule type="cellIs" priority="615" operator="greaterThanOrEqual">
      <formula>0</formula>
    </cfRule>
    <cfRule type="cellIs" dxfId="339" priority="614" operator="lessThan">
      <formula>0</formula>
    </cfRule>
    <cfRule type="cellIs" dxfId="338" priority="613" operator="lessThan">
      <formula>0</formula>
    </cfRule>
    <cfRule type="cellIs" dxfId="337" priority="612" operator="lessThan">
      <formula>0</formula>
    </cfRule>
    <cfRule type="cellIs" dxfId="336" priority="611" operator="lessThan">
      <formula>0</formula>
    </cfRule>
    <cfRule type="cellIs" dxfId="335" priority="610" operator="lessThan">
      <formula>0</formula>
    </cfRule>
    <cfRule type="cellIs" priority="609" operator="greaterThanOrEqual">
      <formula>0</formula>
    </cfRule>
    <cfRule type="cellIs" priority="608" operator="greaterThanOrEqual">
      <formula>0</formula>
    </cfRule>
    <cfRule type="cellIs" priority="607" operator="greaterThanOrEqual">
      <formula>0</formula>
    </cfRule>
    <cfRule type="cellIs" priority="606" operator="greaterThanOrEqual">
      <formula>0</formula>
    </cfRule>
    <cfRule type="cellIs" dxfId="334" priority="605" operator="lessThan">
      <formula>0</formula>
    </cfRule>
    <cfRule type="cellIs" priority="604" operator="greaterThanOrEqual">
      <formula>0</formula>
    </cfRule>
    <cfRule type="cellIs" priority="603" operator="greaterThanOrEqual">
      <formula>0</formula>
    </cfRule>
    <cfRule type="cellIs" priority="602" operator="greaterThanOrEqual">
      <formula>0</formula>
    </cfRule>
    <cfRule type="cellIs" dxfId="333" priority="601" operator="lessThan">
      <formula>0</formula>
    </cfRule>
    <cfRule type="cellIs" priority="600" operator="greaterThanOrEqual">
      <formula>0</formula>
    </cfRule>
    <cfRule type="cellIs" dxfId="332" priority="599" operator="lessThan">
      <formula>0</formula>
    </cfRule>
    <cfRule type="cellIs" dxfId="331" priority="598" operator="lessThan">
      <formula>0</formula>
    </cfRule>
    <cfRule type="cellIs" dxfId="330" priority="597" operator="lessThan">
      <formula>0</formula>
    </cfRule>
    <cfRule type="cellIs" dxfId="329" priority="596" operator="lessThan">
      <formula>0</formula>
    </cfRule>
    <cfRule type="cellIs" dxfId="328" priority="595" operator="lessThan">
      <formula>0</formula>
    </cfRule>
    <cfRule type="cellIs" priority="594" operator="greaterThanOrEqual">
      <formula>0</formula>
    </cfRule>
    <cfRule type="cellIs" priority="593" operator="greaterThanOrEqual">
      <formula>0</formula>
    </cfRule>
    <cfRule type="cellIs" priority="592" operator="greaterThanOrEqual">
      <formula>0</formula>
    </cfRule>
    <cfRule type="cellIs" dxfId="327" priority="591" operator="lessThan">
      <formula>0</formula>
    </cfRule>
    <cfRule type="cellIs" dxfId="326" priority="590" operator="lessThan">
      <formula>0</formula>
    </cfRule>
    <cfRule type="cellIs" priority="558" operator="greaterThanOrEqual">
      <formula>0</formula>
    </cfRule>
    <cfRule type="cellIs" dxfId="325" priority="557" operator="lessThan">
      <formula>0</formula>
    </cfRule>
    <cfRule type="cellIs" priority="556" operator="greaterThanOrEqual">
      <formula>0</formula>
    </cfRule>
    <cfRule type="cellIs" dxfId="324" priority="555" operator="lessThan">
      <formula>0</formula>
    </cfRule>
    <cfRule type="cellIs" priority="554" operator="greaterThanOrEqual">
      <formula>0</formula>
    </cfRule>
    <cfRule type="cellIs" dxfId="323" priority="553" operator="lessThan">
      <formula>0</formula>
    </cfRule>
    <cfRule type="cellIs" priority="552" operator="greaterThanOrEqual">
      <formula>0</formula>
    </cfRule>
    <cfRule type="cellIs" dxfId="322" priority="551" operator="lessThan">
      <formula>0</formula>
    </cfRule>
    <cfRule type="cellIs" dxfId="321" priority="550" operator="lessThan">
      <formula>0</formula>
    </cfRule>
    <cfRule type="cellIs" dxfId="320" priority="549" operator="lessThan">
      <formula>0</formula>
    </cfRule>
    <cfRule type="cellIs" priority="548" operator="greaterThanOrEqual">
      <formula>0</formula>
    </cfRule>
    <cfRule type="cellIs" dxfId="319" priority="547" operator="lessThan">
      <formula>0</formula>
    </cfRule>
    <cfRule type="cellIs" priority="546" operator="greaterThanOrEqual">
      <formula>0</formula>
    </cfRule>
    <cfRule type="cellIs" priority="545" operator="greaterThanOrEqual">
      <formula>0</formula>
    </cfRule>
    <cfRule type="cellIs" priority="544" operator="greaterThanOrEqual">
      <formula>0</formula>
    </cfRule>
    <cfRule type="cellIs" dxfId="318" priority="543" operator="lessThan">
      <formula>0</formula>
    </cfRule>
    <cfRule type="cellIs" priority="542" operator="greaterThanOrEqual">
      <formula>0</formula>
    </cfRule>
    <cfRule type="cellIs" dxfId="317" priority="541" operator="lessThan">
      <formula>0</formula>
    </cfRule>
    <cfRule type="cellIs" dxfId="316" priority="540" operator="lessThan">
      <formula>0</formula>
    </cfRule>
    <cfRule type="cellIs" dxfId="315" priority="539" operator="lessThan">
      <formula>0</formula>
    </cfRule>
    <cfRule type="cellIs" dxfId="314" priority="538" operator="lessThan">
      <formula>0</formula>
    </cfRule>
    <cfRule type="cellIs" dxfId="313" priority="537" operator="lessThan">
      <formula>0</formula>
    </cfRule>
    <cfRule type="cellIs" priority="536" operator="greaterThanOrEqual">
      <formula>0</formula>
    </cfRule>
    <cfRule type="cellIs" priority="535" operator="greaterThanOrEqual">
      <formula>0</formula>
    </cfRule>
    <cfRule type="cellIs" priority="534" operator="greaterThanOrEqual">
      <formula>0</formula>
    </cfRule>
    <cfRule type="cellIs" priority="533" operator="greaterThanOrEqual">
      <formula>0</formula>
    </cfRule>
    <cfRule type="cellIs" dxfId="312" priority="532" operator="lessThan">
      <formula>0</formula>
    </cfRule>
    <cfRule type="cellIs" priority="531" operator="greaterThanOrEqual">
      <formula>0</formula>
    </cfRule>
    <cfRule type="cellIs" priority="530" operator="greaterThanOrEqual">
      <formula>0</formula>
    </cfRule>
    <cfRule type="cellIs" priority="529" operator="greaterThanOrEqual">
      <formula>0</formula>
    </cfRule>
    <cfRule type="cellIs" dxfId="311" priority="528" operator="lessThan">
      <formula>0</formula>
    </cfRule>
    <cfRule type="cellIs" priority="527" operator="greaterThanOrEqual">
      <formula>0</formula>
    </cfRule>
    <cfRule type="cellIs" dxfId="310" priority="526" operator="lessThan">
      <formula>0</formula>
    </cfRule>
    <cfRule type="cellIs" dxfId="309" priority="525" operator="lessThan">
      <formula>0</formula>
    </cfRule>
    <cfRule type="cellIs" dxfId="308" priority="524" operator="lessThan">
      <formula>0</formula>
    </cfRule>
    <cfRule type="cellIs" dxfId="307" priority="523" operator="lessThan">
      <formula>0</formula>
    </cfRule>
    <cfRule type="cellIs" dxfId="306" priority="522" operator="lessThan">
      <formula>0</formula>
    </cfRule>
    <cfRule type="cellIs" priority="521" operator="greaterThanOrEqual">
      <formula>0</formula>
    </cfRule>
    <cfRule type="cellIs" priority="520" operator="greaterThanOrEqual">
      <formula>0</formula>
    </cfRule>
    <cfRule type="cellIs" priority="519" operator="greaterThanOrEqual">
      <formula>0</formula>
    </cfRule>
    <cfRule type="cellIs" dxfId="305" priority="518" operator="lessThan">
      <formula>0</formula>
    </cfRule>
    <cfRule type="cellIs" dxfId="304" priority="517" operator="lessThan">
      <formula>0</formula>
    </cfRule>
    <cfRule type="cellIs" dxfId="303" priority="485" operator="greaterThanOrEqual">
      <formula>0</formula>
    </cfRule>
    <cfRule type="cellIs" dxfId="302" priority="484" operator="lessThan">
      <formula>0</formula>
    </cfRule>
    <cfRule type="cellIs" dxfId="301" priority="483" operator="greaterThanOrEqual">
      <formula>0</formula>
    </cfRule>
    <cfRule type="cellIs" dxfId="300" priority="482" operator="lessThan">
      <formula>0</formula>
    </cfRule>
    <cfRule type="cellIs" dxfId="299" priority="481" operator="greaterThanOrEqual">
      <formula>0</formula>
    </cfRule>
    <cfRule type="cellIs" dxfId="298" priority="480" operator="lessThan">
      <formula>0</formula>
    </cfRule>
    <cfRule type="cellIs" dxfId="297" priority="479" operator="greaterThanOrEqual">
      <formula>0</formula>
    </cfRule>
    <cfRule type="cellIs" dxfId="296" priority="478" operator="lessThan">
      <formula>0</formula>
    </cfRule>
    <cfRule type="cellIs" dxfId="295" priority="477" operator="lessThan">
      <formula>0</formula>
    </cfRule>
    <cfRule type="cellIs" dxfId="294" priority="476" operator="lessThan">
      <formula>0</formula>
    </cfRule>
    <cfRule type="cellIs" dxfId="293" priority="475" operator="greaterThanOrEqual">
      <formula>0</formula>
    </cfRule>
    <cfRule type="cellIs" dxfId="292" priority="474" operator="lessThan">
      <formula>0</formula>
    </cfRule>
    <cfRule type="cellIs" dxfId="291" priority="473" operator="greaterThanOrEqual">
      <formula>0</formula>
    </cfRule>
    <cfRule type="cellIs" dxfId="290" priority="472" operator="greaterThanOrEqual">
      <formula>0</formula>
    </cfRule>
    <cfRule type="cellIs" dxfId="289" priority="471" operator="greaterThanOrEqual">
      <formula>0</formula>
    </cfRule>
    <cfRule type="cellIs" dxfId="288" priority="470" operator="lessThan">
      <formula>0</formula>
    </cfRule>
    <cfRule type="cellIs" dxfId="287" priority="469" operator="greaterThanOrEqual">
      <formula>0</formula>
    </cfRule>
    <cfRule type="cellIs" dxfId="286" priority="468" operator="lessThan">
      <formula>0</formula>
    </cfRule>
    <cfRule type="cellIs" dxfId="285" priority="467" operator="lessThan">
      <formula>0</formula>
    </cfRule>
    <cfRule type="cellIs" dxfId="284" priority="466" operator="lessThan">
      <formula>0</formula>
    </cfRule>
    <cfRule type="cellIs" dxfId="283" priority="465" operator="lessThan">
      <formula>0</formula>
    </cfRule>
    <cfRule type="cellIs" dxfId="282" priority="464" operator="lessThan">
      <formula>0</formula>
    </cfRule>
    <cfRule type="cellIs" dxfId="281" priority="463" operator="greaterThanOrEqual">
      <formula>0</formula>
    </cfRule>
    <cfRule type="cellIs" dxfId="280" priority="462" operator="greaterThanOrEqual">
      <formula>0</formula>
    </cfRule>
    <cfRule type="cellIs" dxfId="279" priority="461" operator="greaterThanOrEqual">
      <formula>0</formula>
    </cfRule>
    <cfRule type="cellIs" dxfId="278" priority="460" operator="greaterThanOrEqual">
      <formula>0</formula>
    </cfRule>
    <cfRule type="cellIs" dxfId="277" priority="459" operator="lessThan">
      <formula>0</formula>
    </cfRule>
    <cfRule type="cellIs" dxfId="276" priority="458" operator="greaterThanOrEqual">
      <formula>0</formula>
    </cfRule>
    <cfRule type="cellIs" dxfId="275" priority="457" operator="greaterThanOrEqual">
      <formula>0</formula>
    </cfRule>
    <cfRule type="cellIs" dxfId="274" priority="456" operator="greaterThanOrEqual">
      <formula>0</formula>
    </cfRule>
    <cfRule type="cellIs" dxfId="273" priority="455" operator="lessThan">
      <formula>0</formula>
    </cfRule>
    <cfRule type="cellIs" dxfId="272" priority="454" operator="greaterThanOrEqual">
      <formula>0</formula>
    </cfRule>
    <cfRule type="cellIs" dxfId="271" priority="453" operator="lessThan">
      <formula>0</formula>
    </cfRule>
    <cfRule type="cellIs" dxfId="270" priority="452" operator="lessThan">
      <formula>0</formula>
    </cfRule>
    <cfRule type="cellIs" dxfId="269" priority="451" operator="lessThan">
      <formula>0</formula>
    </cfRule>
    <cfRule type="cellIs" dxfId="268" priority="450" operator="lessThan">
      <formula>0</formula>
    </cfRule>
    <cfRule type="cellIs" dxfId="267" priority="449" operator="lessThan">
      <formula>0</formula>
    </cfRule>
    <cfRule type="cellIs" dxfId="266" priority="448" operator="greaterThanOrEqual">
      <formula>0</formula>
    </cfRule>
    <cfRule type="cellIs" dxfId="265" priority="447" operator="greaterThanOrEqual">
      <formula>0</formula>
    </cfRule>
    <cfRule type="cellIs" dxfId="264" priority="446" operator="greaterThanOrEqual">
      <formula>0</formula>
    </cfRule>
    <cfRule type="cellIs" dxfId="263" priority="445" operator="lessThan">
      <formula>0</formula>
    </cfRule>
    <cfRule type="cellIs" dxfId="262" priority="444" operator="lessThan">
      <formula>0</formula>
    </cfRule>
    <cfRule type="cellIs" dxfId="261" priority="411" operator="greaterThanOrEqual">
      <formula>0</formula>
    </cfRule>
    <cfRule type="cellIs" dxfId="260" priority="410" operator="lessThan">
      <formula>0</formula>
    </cfRule>
    <cfRule type="cellIs" dxfId="259" priority="409" operator="greaterThanOrEqual">
      <formula>0</formula>
    </cfRule>
    <cfRule type="cellIs" dxfId="258" priority="408" operator="lessThan">
      <formula>0</formula>
    </cfRule>
    <cfRule type="cellIs" dxfId="257" priority="407" operator="greaterThanOrEqual">
      <formula>0</formula>
    </cfRule>
    <cfRule type="cellIs" dxfId="256" priority="406" operator="lessThan">
      <formula>0</formula>
    </cfRule>
    <cfRule type="cellIs" dxfId="255" priority="405" operator="greaterThanOrEqual">
      <formula>0</formula>
    </cfRule>
    <cfRule type="cellIs" dxfId="254" priority="404" operator="lessThan">
      <formula>0</formula>
    </cfRule>
    <cfRule type="cellIs" dxfId="253" priority="403" operator="lessThan">
      <formula>0</formula>
    </cfRule>
    <cfRule type="cellIs" dxfId="252" priority="402" operator="lessThan">
      <formula>0</formula>
    </cfRule>
    <cfRule type="cellIs" dxfId="251" priority="401" operator="greaterThanOrEqual">
      <formula>0</formula>
    </cfRule>
    <cfRule type="cellIs" dxfId="250" priority="400" operator="lessThan">
      <formula>0</formula>
    </cfRule>
    <cfRule type="cellIs" dxfId="249" priority="399" operator="greaterThanOrEqual">
      <formula>0</formula>
    </cfRule>
    <cfRule type="cellIs" dxfId="248" priority="398" operator="greaterThanOrEqual">
      <formula>0</formula>
    </cfRule>
    <cfRule type="cellIs" dxfId="247" priority="397" operator="greaterThanOrEqual">
      <formula>0</formula>
    </cfRule>
    <cfRule type="cellIs" dxfId="246" priority="396" operator="lessThan">
      <formula>0</formula>
    </cfRule>
    <cfRule type="cellIs" dxfId="245" priority="395" operator="greaterThanOrEqual">
      <formula>0</formula>
    </cfRule>
    <cfRule type="cellIs" dxfId="244" priority="394" operator="lessThan">
      <formula>0</formula>
    </cfRule>
    <cfRule type="cellIs" dxfId="243" priority="393" operator="lessThan">
      <formula>0</formula>
    </cfRule>
    <cfRule type="cellIs" dxfId="242" priority="392" operator="lessThan">
      <formula>0</formula>
    </cfRule>
    <cfRule type="cellIs" dxfId="241" priority="391" operator="lessThan">
      <formula>0</formula>
    </cfRule>
    <cfRule type="cellIs" dxfId="240" priority="390" operator="lessThan">
      <formula>0</formula>
    </cfRule>
    <cfRule type="cellIs" dxfId="239" priority="389" operator="greaterThanOrEqual">
      <formula>0</formula>
    </cfRule>
    <cfRule type="cellIs" dxfId="238" priority="388" operator="greaterThanOrEqual">
      <formula>0</formula>
    </cfRule>
    <cfRule type="cellIs" dxfId="237" priority="387" operator="greaterThanOrEqual">
      <formula>0</formula>
    </cfRule>
    <cfRule type="cellIs" dxfId="236" priority="386" operator="greaterThanOrEqual">
      <formula>0</formula>
    </cfRule>
    <cfRule type="cellIs" dxfId="235" priority="385" operator="lessThan">
      <formula>0</formula>
    </cfRule>
    <cfRule type="cellIs" dxfId="234" priority="384" operator="greaterThanOrEqual">
      <formula>0</formula>
    </cfRule>
    <cfRule type="cellIs" dxfId="233" priority="383" operator="greaterThanOrEqual">
      <formula>0</formula>
    </cfRule>
    <cfRule type="cellIs" dxfId="232" priority="382" operator="greaterThanOrEqual">
      <formula>0</formula>
    </cfRule>
    <cfRule type="cellIs" dxfId="231" priority="381" operator="lessThan">
      <formula>0</formula>
    </cfRule>
    <cfRule type="cellIs" dxfId="230" priority="380" operator="greaterThanOrEqual">
      <formula>0</formula>
    </cfRule>
    <cfRule type="cellIs" dxfId="229" priority="379" operator="lessThan">
      <formula>0</formula>
    </cfRule>
    <cfRule type="cellIs" dxfId="228" priority="378" operator="lessThan">
      <formula>0</formula>
    </cfRule>
    <cfRule type="cellIs" dxfId="227" priority="377" operator="lessThan">
      <formula>0</formula>
    </cfRule>
    <cfRule type="cellIs" dxfId="226" priority="376" operator="lessThan">
      <formula>0</formula>
    </cfRule>
    <cfRule type="cellIs" dxfId="225" priority="375" operator="lessThan">
      <formula>0</formula>
    </cfRule>
    <cfRule type="cellIs" dxfId="224" priority="374" operator="greaterThanOrEqual">
      <formula>0</formula>
    </cfRule>
    <cfRule type="cellIs" dxfId="223" priority="373" operator="greaterThanOrEqual">
      <formula>0</formula>
    </cfRule>
    <cfRule type="cellIs" dxfId="222" priority="372" operator="greaterThanOrEqual">
      <formula>0</formula>
    </cfRule>
    <cfRule type="cellIs" dxfId="221" priority="371" operator="lessThan">
      <formula>0</formula>
    </cfRule>
    <cfRule type="cellIs" dxfId="220" priority="370" operator="lessThan">
      <formula>0</formula>
    </cfRule>
    <cfRule type="cellIs" dxfId="219" priority="338" operator="greaterThanOrEqual">
      <formula>0</formula>
    </cfRule>
    <cfRule type="cellIs" dxfId="218" priority="337" operator="lessThan">
      <formula>0</formula>
    </cfRule>
    <cfRule type="cellIs" dxfId="217" priority="336" operator="greaterThanOrEqual">
      <formula>0</formula>
    </cfRule>
    <cfRule type="cellIs" dxfId="216" priority="335" operator="lessThan">
      <formula>0</formula>
    </cfRule>
    <cfRule type="cellIs" dxfId="215" priority="334" operator="greaterThanOrEqual">
      <formula>0</formula>
    </cfRule>
    <cfRule type="cellIs" dxfId="214" priority="333" operator="lessThan">
      <formula>0</formula>
    </cfRule>
    <cfRule type="cellIs" dxfId="213" priority="332" operator="greaterThanOrEqual">
      <formula>0</formula>
    </cfRule>
    <cfRule type="cellIs" dxfId="212" priority="331" operator="lessThan">
      <formula>0</formula>
    </cfRule>
    <cfRule type="cellIs" dxfId="211" priority="330" operator="greaterThanOrEqual">
      <formula>0</formula>
    </cfRule>
    <cfRule type="cellIs" dxfId="210" priority="329" operator="lessThan">
      <formula>0</formula>
    </cfRule>
    <cfRule type="cellIs" dxfId="209" priority="328" operator="lessThan">
      <formula>0</formula>
    </cfRule>
    <cfRule type="cellIs" dxfId="208" priority="327" operator="lessThan">
      <formula>0</formula>
    </cfRule>
    <cfRule type="cellIs" dxfId="207" priority="326" operator="greaterThanOrEqual">
      <formula>0</formula>
    </cfRule>
    <cfRule type="cellIs" dxfId="206" priority="325" operator="lessThan">
      <formula>0</formula>
    </cfRule>
    <cfRule type="cellIs" dxfId="205" priority="324" operator="greaterThanOrEqual">
      <formula>0</formula>
    </cfRule>
    <cfRule type="cellIs" dxfId="204" priority="323" operator="greaterThanOrEqual">
      <formula>0</formula>
    </cfRule>
    <cfRule type="cellIs" dxfId="203" priority="322" operator="greaterThanOrEqual">
      <formula>0</formula>
    </cfRule>
    <cfRule type="cellIs" dxfId="202" priority="321" operator="lessThan">
      <formula>0</formula>
    </cfRule>
    <cfRule type="cellIs" dxfId="201" priority="320" operator="greaterThanOrEqual">
      <formula>0</formula>
    </cfRule>
    <cfRule type="cellIs" dxfId="200" priority="319" operator="lessThan">
      <formula>0</formula>
    </cfRule>
    <cfRule type="cellIs" dxfId="199" priority="318" operator="lessThan">
      <formula>0</formula>
    </cfRule>
    <cfRule type="cellIs" dxfId="198" priority="317" operator="lessThan">
      <formula>0</formula>
    </cfRule>
    <cfRule type="cellIs" dxfId="197" priority="316" operator="lessThan">
      <formula>0</formula>
    </cfRule>
    <cfRule type="cellIs" dxfId="196" priority="315" operator="lessThan">
      <formula>0</formula>
    </cfRule>
    <cfRule type="cellIs" dxfId="195" priority="314" operator="greaterThanOrEqual">
      <formula>0</formula>
    </cfRule>
    <cfRule type="cellIs" dxfId="194" priority="313" operator="greaterThanOrEqual">
      <formula>0</formula>
    </cfRule>
    <cfRule type="cellIs" dxfId="193" priority="312" operator="greaterThanOrEqual">
      <formula>0</formula>
    </cfRule>
    <cfRule type="cellIs" dxfId="192" priority="311" operator="greaterThanOrEqual">
      <formula>0</formula>
    </cfRule>
    <cfRule type="cellIs" dxfId="191" priority="310" operator="lessThan">
      <formula>0</formula>
    </cfRule>
    <cfRule type="cellIs" dxfId="190" priority="309" operator="greaterThanOrEqual">
      <formula>0</formula>
    </cfRule>
    <cfRule type="cellIs" dxfId="189" priority="308" operator="greaterThanOrEqual">
      <formula>0</formula>
    </cfRule>
    <cfRule type="cellIs" dxfId="188" priority="307" operator="greaterThanOrEqual">
      <formula>0</formula>
    </cfRule>
    <cfRule type="cellIs" dxfId="187" priority="306" operator="lessThan">
      <formula>0</formula>
    </cfRule>
    <cfRule type="cellIs" dxfId="186" priority="305" operator="greaterThanOrEqual">
      <formula>0</formula>
    </cfRule>
    <cfRule type="cellIs" dxfId="185" priority="304" operator="lessThan">
      <formula>0</formula>
    </cfRule>
    <cfRule type="cellIs" dxfId="184" priority="303" operator="lessThan">
      <formula>0</formula>
    </cfRule>
    <cfRule type="cellIs" dxfId="183" priority="302" operator="lessThan">
      <formula>0</formula>
    </cfRule>
    <cfRule type="cellIs" dxfId="182" priority="301" operator="lessThan">
      <formula>0</formula>
    </cfRule>
    <cfRule type="cellIs" dxfId="181" priority="300" operator="lessThan">
      <formula>0</formula>
    </cfRule>
    <cfRule type="cellIs" dxfId="180" priority="299" operator="greaterThanOrEqual">
      <formula>0</formula>
    </cfRule>
    <cfRule type="cellIs" dxfId="179" priority="298" operator="greaterThanOrEqual">
      <formula>0</formula>
    </cfRule>
    <cfRule type="cellIs" dxfId="178" priority="297" operator="greaterThanOrEqual">
      <formula>0</formula>
    </cfRule>
    <cfRule type="cellIs" dxfId="177" priority="296" operator="lessThan">
      <formula>0</formula>
    </cfRule>
    <cfRule type="cellIs" dxfId="176" priority="295" operator="lessThan">
      <formula>0</formula>
    </cfRule>
    <cfRule type="cellIs" dxfId="175" priority="259" operator="greaterThanOrEqual">
      <formula>0</formula>
    </cfRule>
    <cfRule type="cellIs" dxfId="174" priority="258" operator="lessThan">
      <formula>0</formula>
    </cfRule>
    <cfRule type="cellIs" dxfId="173" priority="257" operator="greaterThanOrEqual">
      <formula>0</formula>
    </cfRule>
    <cfRule type="cellIs" dxfId="172" priority="256" operator="lessThan">
      <formula>0</formula>
    </cfRule>
    <cfRule type="cellIs" dxfId="171" priority="255" operator="greaterThanOrEqual">
      <formula>0</formula>
    </cfRule>
    <cfRule type="cellIs" dxfId="170" priority="254" operator="lessThan">
      <formula>0</formula>
    </cfRule>
    <cfRule type="cellIs" dxfId="169" priority="253" operator="greaterThanOrEqual">
      <formula>0</formula>
    </cfRule>
    <cfRule type="cellIs" dxfId="168" priority="252" operator="lessThan">
      <formula>0</formula>
    </cfRule>
    <cfRule type="cellIs" dxfId="167" priority="251" operator="greaterThanOrEqual">
      <formula>0</formula>
    </cfRule>
    <cfRule type="cellIs" dxfId="166" priority="250" operator="lessThan">
      <formula>0</formula>
    </cfRule>
    <cfRule type="cellIs" dxfId="165" priority="249" operator="lessThan">
      <formula>0</formula>
    </cfRule>
    <cfRule type="cellIs" dxfId="164" priority="248" operator="lessThan">
      <formula>0</formula>
    </cfRule>
    <cfRule type="cellIs" dxfId="163" priority="247" operator="greaterThanOrEqual">
      <formula>0</formula>
    </cfRule>
    <cfRule type="cellIs" dxfId="162" priority="246" operator="lessThan">
      <formula>0</formula>
    </cfRule>
    <cfRule type="cellIs" dxfId="161" priority="245" operator="greaterThanOrEqual">
      <formula>0</formula>
    </cfRule>
    <cfRule type="cellIs" dxfId="160" priority="244" operator="greaterThanOrEqual">
      <formula>0</formula>
    </cfRule>
    <cfRule type="cellIs" dxfId="159" priority="243" operator="greaterThanOrEqual">
      <formula>0</formula>
    </cfRule>
    <cfRule type="cellIs" dxfId="158" priority="242" operator="lessThan">
      <formula>0</formula>
    </cfRule>
    <cfRule type="cellIs" dxfId="157" priority="241" operator="greaterThanOrEqual">
      <formula>0</formula>
    </cfRule>
    <cfRule type="cellIs" dxfId="156" priority="240" operator="lessThan">
      <formula>0</formula>
    </cfRule>
    <cfRule type="cellIs" dxfId="155" priority="239" operator="lessThan">
      <formula>0</formula>
    </cfRule>
    <cfRule type="cellIs" dxfId="154" priority="238" operator="lessThan">
      <formula>0</formula>
    </cfRule>
    <cfRule type="cellIs" dxfId="153" priority="237" operator="lessThan">
      <formula>0</formula>
    </cfRule>
    <cfRule type="cellIs" dxfId="152" priority="236" operator="lessThan">
      <formula>0</formula>
    </cfRule>
    <cfRule type="cellIs" dxfId="151" priority="235" operator="greaterThanOrEqual">
      <formula>0</formula>
    </cfRule>
    <cfRule type="cellIs" dxfId="150" priority="234" operator="greaterThanOrEqual">
      <formula>0</formula>
    </cfRule>
    <cfRule type="cellIs" dxfId="149" priority="233" operator="greaterThanOrEqual">
      <formula>0</formula>
    </cfRule>
    <cfRule type="cellIs" dxfId="148" priority="232" operator="greaterThanOrEqual">
      <formula>0</formula>
    </cfRule>
    <cfRule type="cellIs" dxfId="147" priority="231" operator="lessThan">
      <formula>0</formula>
    </cfRule>
    <cfRule type="cellIs" dxfId="146" priority="230" operator="greaterThanOrEqual">
      <formula>0</formula>
    </cfRule>
    <cfRule type="cellIs" dxfId="145" priority="229" operator="greaterThanOrEqual">
      <formula>0</formula>
    </cfRule>
    <cfRule type="cellIs" dxfId="144" priority="228" operator="greaterThanOrEqual">
      <formula>0</formula>
    </cfRule>
    <cfRule type="cellIs" dxfId="143" priority="227" operator="lessThan">
      <formula>0</formula>
    </cfRule>
    <cfRule type="cellIs" dxfId="142" priority="226" operator="greaterThanOrEqual">
      <formula>0</formula>
    </cfRule>
    <cfRule type="cellIs" dxfId="141" priority="225" operator="lessThan">
      <formula>0</formula>
    </cfRule>
    <cfRule type="cellIs" dxfId="140" priority="224" operator="lessThan">
      <formula>0</formula>
    </cfRule>
    <cfRule type="cellIs" dxfId="139" priority="223" operator="lessThan">
      <formula>0</formula>
    </cfRule>
    <cfRule type="cellIs" dxfId="138" priority="222" operator="lessThan">
      <formula>0</formula>
    </cfRule>
    <cfRule type="cellIs" dxfId="137" priority="221" operator="lessThan">
      <formula>0</formula>
    </cfRule>
    <cfRule type="cellIs" dxfId="136" priority="220" operator="greaterThanOrEqual">
      <formula>0</formula>
    </cfRule>
    <cfRule type="cellIs" dxfId="135" priority="219" operator="greaterThanOrEqual">
      <formula>0</formula>
    </cfRule>
    <cfRule type="cellIs" dxfId="134" priority="218" operator="greaterThanOrEqual">
      <formula>0</formula>
    </cfRule>
    <cfRule type="cellIs" dxfId="133" priority="217" operator="lessThan">
      <formula>0</formula>
    </cfRule>
    <cfRule type="cellIs" dxfId="132" priority="216" operator="lessThan">
      <formula>0</formula>
    </cfRule>
    <cfRule type="cellIs" dxfId="131" priority="184" operator="greaterThanOrEqual">
      <formula>0</formula>
    </cfRule>
    <cfRule type="cellIs" dxfId="130" priority="183" operator="lessThan">
      <formula>0</formula>
    </cfRule>
    <cfRule type="cellIs" dxfId="129" priority="182" operator="greaterThanOrEqual">
      <formula>0</formula>
    </cfRule>
    <cfRule type="cellIs" dxfId="128" priority="181" operator="lessThan">
      <formula>0</formula>
    </cfRule>
    <cfRule type="cellIs" dxfId="127" priority="180" operator="greaterThanOrEqual">
      <formula>0</formula>
    </cfRule>
    <cfRule type="cellIs" dxfId="126" priority="179" operator="lessThan">
      <formula>0</formula>
    </cfRule>
    <cfRule type="cellIs" dxfId="125" priority="178" operator="greaterThanOrEqual">
      <formula>0</formula>
    </cfRule>
    <cfRule type="cellIs" dxfId="124" priority="177" operator="lessThan">
      <formula>0</formula>
    </cfRule>
    <cfRule type="cellIs" dxfId="123" priority="176" operator="greaterThanOrEqual">
      <formula>0</formula>
    </cfRule>
    <cfRule type="cellIs" dxfId="122" priority="175" operator="lessThan">
      <formula>0</formula>
    </cfRule>
    <cfRule type="cellIs" dxfId="121" priority="174" operator="lessThan">
      <formula>0</formula>
    </cfRule>
    <cfRule type="cellIs" dxfId="120" priority="173" operator="lessThan">
      <formula>0</formula>
    </cfRule>
    <cfRule type="cellIs" dxfId="119" priority="172" operator="greaterThanOrEqual">
      <formula>0</formula>
    </cfRule>
    <cfRule type="cellIs" dxfId="118" priority="171" operator="lessThan">
      <formula>0</formula>
    </cfRule>
    <cfRule type="cellIs" dxfId="117" priority="170" operator="greaterThanOrEqual">
      <formula>0</formula>
    </cfRule>
    <cfRule type="cellIs" dxfId="116" priority="169" operator="greaterThanOrEqual">
      <formula>0</formula>
    </cfRule>
    <cfRule type="cellIs" dxfId="115" priority="168" operator="greaterThanOrEqual">
      <formula>0</formula>
    </cfRule>
    <cfRule type="cellIs" dxfId="114" priority="167" operator="lessThan">
      <formula>0</formula>
    </cfRule>
    <cfRule type="cellIs" dxfId="113" priority="166" operator="greaterThanOrEqual">
      <formula>0</formula>
    </cfRule>
    <cfRule type="cellIs" dxfId="112" priority="165" operator="lessThan">
      <formula>0</formula>
    </cfRule>
    <cfRule type="cellIs" dxfId="111" priority="164" operator="lessThan">
      <formula>0</formula>
    </cfRule>
    <cfRule type="cellIs" dxfId="110" priority="163" operator="lessThan">
      <formula>0</formula>
    </cfRule>
    <cfRule type="cellIs" dxfId="109" priority="162" operator="lessThan">
      <formula>0</formula>
    </cfRule>
    <cfRule type="cellIs" dxfId="108" priority="161" operator="lessThan">
      <formula>0</formula>
    </cfRule>
    <cfRule type="cellIs" dxfId="107" priority="160" operator="greaterThanOrEqual">
      <formula>0</formula>
    </cfRule>
    <cfRule type="cellIs" dxfId="106" priority="159" operator="greaterThanOrEqual">
      <formula>0</formula>
    </cfRule>
    <cfRule type="cellIs" dxfId="105" priority="158" operator="greaterThanOrEqual">
      <formula>0</formula>
    </cfRule>
    <cfRule type="cellIs" dxfId="104" priority="157" operator="greaterThanOrEqual">
      <formula>0</formula>
    </cfRule>
    <cfRule type="cellIs" dxfId="103" priority="156" operator="lessThan">
      <formula>0</formula>
    </cfRule>
    <cfRule type="cellIs" dxfId="102" priority="155" operator="greaterThanOrEqual">
      <formula>0</formula>
    </cfRule>
    <cfRule type="cellIs" dxfId="101" priority="154" operator="greaterThanOrEqual">
      <formula>0</formula>
    </cfRule>
    <cfRule type="cellIs" dxfId="100" priority="153" operator="greaterThanOrEqual">
      <formula>0</formula>
    </cfRule>
    <cfRule type="cellIs" dxfId="99" priority="152" operator="lessThan">
      <formula>0</formula>
    </cfRule>
    <cfRule type="cellIs" dxfId="98" priority="151" operator="greaterThanOrEqual">
      <formula>0</formula>
    </cfRule>
    <cfRule type="cellIs" dxfId="97" priority="150" operator="lessThan">
      <formula>0</formula>
    </cfRule>
    <cfRule type="cellIs" dxfId="96" priority="149" operator="lessThan">
      <formula>0</formula>
    </cfRule>
    <cfRule type="cellIs" dxfId="95" priority="148" operator="lessThan">
      <formula>0</formula>
    </cfRule>
    <cfRule type="cellIs" dxfId="94" priority="147" operator="lessThan">
      <formula>0</formula>
    </cfRule>
    <cfRule type="cellIs" dxfId="93" priority="146" operator="lessThan">
      <formula>0</formula>
    </cfRule>
    <cfRule type="cellIs" dxfId="92" priority="145" operator="greaterThanOrEqual">
      <formula>0</formula>
    </cfRule>
    <cfRule type="cellIs" dxfId="91" priority="144" operator="greaterThanOrEqual">
      <formula>0</formula>
    </cfRule>
    <cfRule type="cellIs" dxfId="90" priority="143" operator="greaterThanOrEqual">
      <formula>0</formula>
    </cfRule>
    <cfRule type="cellIs" dxfId="89" priority="142" operator="lessThan">
      <formula>0</formula>
    </cfRule>
    <cfRule type="cellIs" dxfId="88" priority="141" operator="lessThan">
      <formula>0</formula>
    </cfRule>
    <cfRule type="cellIs" dxfId="87" priority="112" operator="greaterThanOrEqual">
      <formula>0</formula>
    </cfRule>
    <cfRule type="cellIs" dxfId="86" priority="111" operator="lessThan">
      <formula>0</formula>
    </cfRule>
    <cfRule type="cellIs" dxfId="85" priority="110" operator="greaterThanOrEqual">
      <formula>0</formula>
    </cfRule>
    <cfRule type="cellIs" dxfId="84" priority="109" operator="lessThan">
      <formula>0</formula>
    </cfRule>
    <cfRule type="cellIs" dxfId="83" priority="108" operator="greaterThanOrEqual">
      <formula>0</formula>
    </cfRule>
    <cfRule type="cellIs" dxfId="82" priority="107" operator="lessThan">
      <formula>0</formula>
    </cfRule>
    <cfRule type="cellIs" dxfId="81" priority="106" operator="greaterThanOrEqual">
      <formula>0</formula>
    </cfRule>
    <cfRule type="cellIs" dxfId="80" priority="105" operator="lessThan">
      <formula>0</formula>
    </cfRule>
    <cfRule type="cellIs" dxfId="79" priority="104" operator="greaterThanOrEqual">
      <formula>0</formula>
    </cfRule>
    <cfRule type="cellIs" dxfId="78" priority="103" operator="lessThan">
      <formula>0</formula>
    </cfRule>
    <cfRule type="cellIs" dxfId="77" priority="102" operator="lessThan">
      <formula>0</formula>
    </cfRule>
    <cfRule type="cellIs" dxfId="76" priority="101" operator="lessThan">
      <formula>0</formula>
    </cfRule>
    <cfRule type="cellIs" dxfId="75" priority="100" operator="greaterThanOrEqual">
      <formula>0</formula>
    </cfRule>
    <cfRule type="cellIs" dxfId="74" priority="99" operator="lessThan">
      <formula>0</formula>
    </cfRule>
    <cfRule type="cellIs" dxfId="73" priority="98" operator="greaterThanOrEqual">
      <formula>0</formula>
    </cfRule>
    <cfRule type="cellIs" dxfId="72" priority="97" operator="greaterThanOrEqual">
      <formula>0</formula>
    </cfRule>
    <cfRule type="cellIs" dxfId="71" priority="96" operator="greaterThanOrEqual">
      <formula>0</formula>
    </cfRule>
    <cfRule type="cellIs" dxfId="70" priority="95" operator="lessThan">
      <formula>0</formula>
    </cfRule>
    <cfRule type="cellIs" dxfId="69" priority="94" operator="greaterThanOrEqual">
      <formula>0</formula>
    </cfRule>
    <cfRule type="cellIs" dxfId="68" priority="93" operator="lessThan">
      <formula>0</formula>
    </cfRule>
    <cfRule type="cellIs" dxfId="67" priority="92" operator="lessThan">
      <formula>0</formula>
    </cfRule>
    <cfRule type="cellIs" dxfId="66" priority="91" operator="lessThan">
      <formula>0</formula>
    </cfRule>
    <cfRule type="cellIs" dxfId="65" priority="90" operator="lessThan">
      <formula>0</formula>
    </cfRule>
    <cfRule type="cellIs" dxfId="64" priority="89" operator="lessThan">
      <formula>0</formula>
    </cfRule>
    <cfRule type="cellIs" dxfId="63" priority="88" operator="greaterThanOrEqual">
      <formula>0</formula>
    </cfRule>
    <cfRule type="cellIs" dxfId="62" priority="87" operator="greaterThanOrEqual">
      <formula>0</formula>
    </cfRule>
    <cfRule type="cellIs" dxfId="61" priority="86" operator="greaterThanOrEqual">
      <formula>0</formula>
    </cfRule>
    <cfRule type="cellIs" dxfId="60" priority="85" operator="greaterThanOrEqual">
      <formula>0</formula>
    </cfRule>
    <cfRule type="cellIs" dxfId="59" priority="84" operator="lessThan">
      <formula>0</formula>
    </cfRule>
    <cfRule type="cellIs" dxfId="58" priority="83" operator="greaterThanOrEqual">
      <formula>0</formula>
    </cfRule>
    <cfRule type="cellIs" dxfId="57" priority="82" operator="greaterThanOrEqual">
      <formula>0</formula>
    </cfRule>
    <cfRule type="cellIs" dxfId="56" priority="81" operator="greaterThanOrEqual">
      <formula>0</formula>
    </cfRule>
    <cfRule type="cellIs" dxfId="55" priority="80" operator="lessThan">
      <formula>0</formula>
    </cfRule>
    <cfRule type="cellIs" dxfId="54" priority="79" operator="greaterThanOrEqual">
      <formula>0</formula>
    </cfRule>
    <cfRule type="cellIs" dxfId="53" priority="78" operator="lessThan">
      <formula>0</formula>
    </cfRule>
    <cfRule type="cellIs" dxfId="52" priority="77" operator="lessThan">
      <formula>0</formula>
    </cfRule>
    <cfRule type="cellIs" dxfId="51" priority="76" operator="lessThan">
      <formula>0</formula>
    </cfRule>
    <cfRule type="cellIs" dxfId="50" priority="75" operator="lessThan">
      <formula>0</formula>
    </cfRule>
    <cfRule type="cellIs" dxfId="49" priority="74" operator="lessThan">
      <formula>0</formula>
    </cfRule>
    <cfRule type="cellIs" dxfId="48" priority="73" operator="greaterThanOrEqual">
      <formula>0</formula>
    </cfRule>
    <cfRule type="cellIs" dxfId="47" priority="72" operator="greaterThanOrEqual">
      <formula>0</formula>
    </cfRule>
    <cfRule type="cellIs" dxfId="46" priority="71" operator="greaterThanOrEqual">
      <formula>0</formula>
    </cfRule>
    <cfRule type="cellIs" dxfId="45" priority="70" operator="lessThan">
      <formula>0</formula>
    </cfRule>
    <cfRule type="cellIs" dxfId="44" priority="69" operator="lessThan">
      <formula>0</formula>
    </cfRule>
    <cfRule type="cellIs" dxfId="43" priority="44" operator="greaterThanOrEqual">
      <formula>0</formula>
    </cfRule>
    <cfRule type="cellIs" dxfId="42" priority="43" operator="lessThan">
      <formula>0</formula>
    </cfRule>
    <cfRule type="cellIs" dxfId="41" priority="42" operator="greaterThanOrEqual">
      <formula>0</formula>
    </cfRule>
    <cfRule type="cellIs" dxfId="40" priority="41" operator="lessThan">
      <formula>0</formula>
    </cfRule>
    <cfRule type="cellIs" dxfId="39" priority="40" operator="greaterThanOrEqual">
      <formula>0</formula>
    </cfRule>
    <cfRule type="cellIs" dxfId="38" priority="39" operator="lessThan">
      <formula>0</formula>
    </cfRule>
    <cfRule type="cellIs" dxfId="37" priority="38" operator="greaterThanOrEqual">
      <formula>0</formula>
    </cfRule>
    <cfRule type="cellIs" dxfId="36" priority="37" operator="lessThan">
      <formula>0</formula>
    </cfRule>
    <cfRule type="cellIs" dxfId="35" priority="36" operator="greaterThanOrEqual">
      <formula>0</formula>
    </cfRule>
    <cfRule type="cellIs" dxfId="34" priority="35" operator="lessThan">
      <formula>0</formula>
    </cfRule>
    <cfRule type="cellIs" dxfId="33" priority="34" operator="lessThan">
      <formula>0</formula>
    </cfRule>
    <cfRule type="cellIs" dxfId="32" priority="33" operator="lessThan">
      <formula>0</formula>
    </cfRule>
    <cfRule type="cellIs" dxfId="31" priority="32" operator="greaterThanOrEqual">
      <formula>0</formula>
    </cfRule>
    <cfRule type="cellIs" dxfId="30" priority="31" operator="lessThan">
      <formula>0</formula>
    </cfRule>
    <cfRule type="cellIs" dxfId="29" priority="30" operator="greaterThanOrEqual">
      <formula>0</formula>
    </cfRule>
    <cfRule type="cellIs" dxfId="28" priority="29" operator="greaterThanOrEqual">
      <formula>0</formula>
    </cfRule>
    <cfRule type="cellIs" dxfId="27" priority="28" operator="greaterThanOrEqual">
      <formula>0</formula>
    </cfRule>
    <cfRule type="cellIs" dxfId="26" priority="27" operator="lessThan">
      <formula>0</formula>
    </cfRule>
    <cfRule type="cellIs" dxfId="25" priority="26" operator="greaterThanOrEqual">
      <formula>0</formula>
    </cfRule>
    <cfRule type="cellIs" dxfId="24" priority="25" operator="lessThan">
      <formula>0</formula>
    </cfRule>
    <cfRule type="cellIs" dxfId="23" priority="24" operator="lessThan">
      <formula>0</formula>
    </cfRule>
    <cfRule type="cellIs" dxfId="22" priority="23" operator="lessThan">
      <formula>0</formula>
    </cfRule>
    <cfRule type="cellIs" dxfId="21" priority="22" operator="lessThan">
      <formula>0</formula>
    </cfRule>
    <cfRule type="cellIs" dxfId="20" priority="21" operator="lessThan">
      <formula>0</formula>
    </cfRule>
    <cfRule type="cellIs" dxfId="19" priority="20" operator="greaterThanOrEqual">
      <formula>0</formula>
    </cfRule>
    <cfRule type="cellIs" dxfId="18" priority="19" operator="greaterThanOrEqual">
      <formula>0</formula>
    </cfRule>
    <cfRule type="cellIs" dxfId="17" priority="18" operator="greaterThanOrEqual">
      <formula>0</formula>
    </cfRule>
    <cfRule type="cellIs" dxfId="16" priority="17" operator="greaterThanOrEqual">
      <formula>0</formula>
    </cfRule>
    <cfRule type="cellIs" dxfId="15" priority="16" operator="lessThan">
      <formula>0</formula>
    </cfRule>
    <cfRule type="cellIs" dxfId="14" priority="15" operator="greaterThanOrEqual">
      <formula>0</formula>
    </cfRule>
    <cfRule type="cellIs" dxfId="13" priority="14" operator="greaterThanOrEqual">
      <formula>0</formula>
    </cfRule>
    <cfRule type="cellIs" dxfId="12" priority="13" operator="greaterThanOrEqual">
      <formula>0</formula>
    </cfRule>
    <cfRule type="cellIs" dxfId="11" priority="12" operator="lessThan">
      <formula>0</formula>
    </cfRule>
    <cfRule type="cellIs" dxfId="10" priority="11" operator="greaterThanOrEqual">
      <formula>0</formula>
    </cfRule>
    <cfRule type="cellIs" dxfId="9" priority="10" operator="lessThan">
      <formula>0</formula>
    </cfRule>
    <cfRule type="cellIs" dxfId="8" priority="9" operator="lessThan">
      <formula>0</formula>
    </cfRule>
    <cfRule type="cellIs" dxfId="7" priority="8" operator="lessThan">
      <formula>0</formula>
    </cfRule>
    <cfRule type="cellIs" dxfId="6" priority="7" operator="lessThan">
      <formula>0</formula>
    </cfRule>
    <cfRule type="cellIs" dxfId="5" priority="6" operator="lessThan">
      <formula>0</formula>
    </cfRule>
    <cfRule type="cellIs" dxfId="4" priority="5" operator="greaterThanOrEqual">
      <formula>0</formula>
    </cfRule>
    <cfRule type="cellIs" dxfId="3" priority="4" operator="greaterThanOrEqual">
      <formula>0</formula>
    </cfRule>
    <cfRule type="cellIs" dxfId="2" priority="3" operator="greaterThanOrEqual">
      <formula>0</formula>
    </cfRule>
    <cfRule type="cellIs" dxfId="1" priority="2" operator="lessThan">
      <formula>0</formula>
    </cfRule>
    <cfRule type="cellIs" dxfId="0" priority="1" operator="lessThan">
      <formula>0</formula>
    </cfRule>
  </conditionalFormatting>
  <conditionalFormatting sqref="C1 C3:C1048576">
    <cfRule type="cellIs" dxfId="1527" priority="2519" operator="greaterThanOrEqual">
      <formula>0</formula>
    </cfRule>
  </conditionalFormatting>
  <conditionalFormatting sqref="C2">
    <cfRule type="cellIs" dxfId="1526" priority="2518" operator="lessThan">
      <formula>0</formula>
    </cfRule>
  </conditionalFormatting>
  <conditionalFormatting sqref="E9">
    <cfRule type="cellIs" dxfId="1525" priority="2488" operator="lessThan">
      <formula>0</formula>
    </cfRule>
    <cfRule type="cellIs" dxfId="1524" priority="2489" operator="lessThan">
      <formula>0</formula>
    </cfRule>
    <cfRule type="cellIs" priority="2490" operator="greaterThanOrEqual">
      <formula>0</formula>
    </cfRule>
    <cfRule type="cellIs" priority="2491" operator="greaterThanOrEqual">
      <formula>0</formula>
    </cfRule>
    <cfRule type="cellIs" priority="2492" operator="greaterThanOrEqual">
      <formula>0</formula>
    </cfRule>
    <cfRule type="cellIs" dxfId="1523" priority="2493" operator="lessThan">
      <formula>0</formula>
    </cfRule>
    <cfRule type="cellIs" dxfId="1522" priority="2494" operator="lessThan">
      <formula>0</formula>
    </cfRule>
    <cfRule type="cellIs" dxfId="1521" priority="2495" operator="lessThan">
      <formula>0</formula>
    </cfRule>
    <cfRule type="cellIs" dxfId="1520" priority="2496" operator="lessThan">
      <formula>0</formula>
    </cfRule>
    <cfRule type="cellIs" dxfId="1519" priority="2497" operator="lessThan">
      <formula>0</formula>
    </cfRule>
    <cfRule type="cellIs" priority="2498" operator="greaterThanOrEqual">
      <formula>0</formula>
    </cfRule>
    <cfRule type="cellIs" dxfId="1518" priority="2499" operator="lessThan">
      <formula>0</formula>
    </cfRule>
    <cfRule type="cellIs" priority="2500" operator="greaterThanOrEqual">
      <formula>0</formula>
    </cfRule>
    <cfRule type="cellIs" priority="2501" operator="greaterThanOrEqual">
      <formula>0</formula>
    </cfRule>
    <cfRule type="cellIs" priority="2502" operator="greaterThanOrEqual">
      <formula>0</formula>
    </cfRule>
    <cfRule type="cellIs" dxfId="1517" priority="2503" operator="lessThan">
      <formula>0</formula>
    </cfRule>
    <cfRule type="cellIs" priority="2504" operator="greaterThanOrEqual">
      <formula>0</formula>
    </cfRule>
    <cfRule type="cellIs" priority="2505" operator="greaterThanOrEqual">
      <formula>0</formula>
    </cfRule>
    <cfRule type="cellIs" priority="2506" operator="greaterThanOrEqual">
      <formula>0</formula>
    </cfRule>
    <cfRule type="cellIs" priority="2507" operator="greaterThanOrEqual">
      <formula>0</formula>
    </cfRule>
    <cfRule type="cellIs" dxfId="1516" priority="2508" operator="lessThan">
      <formula>0</formula>
    </cfRule>
    <cfRule type="cellIs" dxfId="1515" priority="2509" operator="lessThan">
      <formula>0</formula>
    </cfRule>
    <cfRule type="cellIs" dxfId="1514" priority="2510" operator="lessThan">
      <formula>0</formula>
    </cfRule>
    <cfRule type="cellIs" dxfId="1513" priority="2511" operator="lessThan">
      <formula>0</formula>
    </cfRule>
    <cfRule type="cellIs" dxfId="1512" priority="2512" operator="lessThan">
      <formula>0</formula>
    </cfRule>
    <cfRule type="cellIs" priority="2513" operator="greaterThanOrEqual">
      <formula>0</formula>
    </cfRule>
    <cfRule type="cellIs" dxfId="1511" priority="2514" operator="lessThan">
      <formula>0</formula>
    </cfRule>
    <cfRule type="cellIs" priority="2515" operator="greaterThanOrEqual">
      <formula>0</formula>
    </cfRule>
    <cfRule type="cellIs" priority="2516" operator="greaterThanOrEqual">
      <formula>0</formula>
    </cfRule>
    <cfRule type="cellIs" priority="2517" operator="greaterThanOrEqual">
      <formula>0</formula>
    </cfRule>
  </conditionalFormatting>
  <conditionalFormatting sqref="A4:F62 G4:H200 A1:H3">
    <cfRule type="cellIs" dxfId="1510" priority="2386" operator="lessThan">
      <formula>0</formula>
    </cfRule>
    <cfRule type="cellIs" dxfId="1509" priority="2387" operator="lessThan">
      <formula>0</formula>
    </cfRule>
    <cfRule type="cellIs" priority="2388" operator="greaterThanOrEqual">
      <formula>0</formula>
    </cfRule>
    <cfRule type="cellIs" dxfId="1508" priority="2389" operator="lessThan">
      <formula>0</formula>
    </cfRule>
    <cfRule type="cellIs" priority="2390" operator="greaterThanOrEqual">
      <formula>0</formula>
    </cfRule>
    <cfRule type="cellIs" priority="2391" operator="greaterThanOrEqual">
      <formula>0</formula>
    </cfRule>
    <cfRule type="cellIs" priority="2392" operator="greaterThanOrEqual">
      <formula>0</formula>
    </cfRule>
    <cfRule type="cellIs" priority="2393" operator="greaterThanOrEqual">
      <formula>0</formula>
    </cfRule>
    <cfRule type="cellIs" dxfId="1507" priority="2394" operator="lessThan">
      <formula>0</formula>
    </cfRule>
    <cfRule type="cellIs" priority="2395" operator="greaterThanOrEqual">
      <formula>0</formula>
    </cfRule>
    <cfRule type="cellIs" priority="2396" operator="greaterThanOrEqual">
      <formula>0</formula>
    </cfRule>
    <cfRule type="cellIs" priority="2397" operator="greaterThanOrEqual">
      <formula>0</formula>
    </cfRule>
  </conditionalFormatting>
  <conditionalFormatting sqref="E3:E1048576">
    <cfRule type="containsText" dxfId="1506" priority="2134" operator="containsText" text="Banco do Brasil">
      <formula>NOT(ISERROR(SEARCH("Banco do Brasil",E3)))</formula>
    </cfRule>
    <cfRule type="containsText" dxfId="1505" priority="2135" stopIfTrue="1" operator="containsText" text="Banco do Brasl">
      <formula>NOT(ISERROR(SEARCH("Banco do Brasl",E3)))</formula>
    </cfRule>
    <cfRule type="endsWith" dxfId="1504" priority="2136" operator="endsWith" text="Econômica">
      <formula>RIGHT(E3,LEN("Econômica"))="Econômica"</formula>
    </cfRule>
    <cfRule type="endsWith" dxfId="1503" priority="2137" operator="endsWith" text="Itaú">
      <formula>RIGHT(E3,LEN("Itaú"))="Itaú"</formula>
    </cfRule>
  </conditionalFormatting>
  <conditionalFormatting sqref="K2:L2">
    <cfRule type="cellIs" dxfId="1502" priority="1920" operator="greaterThanOrEqual">
      <formula>0</formula>
    </cfRule>
    <cfRule type="cellIs" dxfId="1501" priority="1921" operator="lessThan">
      <formula>0</formula>
    </cfRule>
  </conditionalFormatting>
  <conditionalFormatting sqref="L7">
    <cfRule type="cellIs" dxfId="1500" priority="1750" operator="lessThan">
      <formula>0</formula>
    </cfRule>
    <cfRule type="cellIs" priority="1751" operator="greaterThanOrEqual">
      <formula>0</formula>
    </cfRule>
    <cfRule type="cellIs" priority="1752" operator="greaterThanOrEqual">
      <formula>0</formula>
    </cfRule>
    <cfRule type="cellIs" dxfId="1499" priority="1753" operator="lessThan">
      <formula>0</formula>
    </cfRule>
    <cfRule type="cellIs" dxfId="1498" priority="1754" operator="lessThan">
      <formula>0</formula>
    </cfRule>
    <cfRule type="cellIs" priority="1755" operator="greaterThanOrEqual">
      <formula>0</formula>
    </cfRule>
    <cfRule type="cellIs" priority="1756" operator="greaterThanOrEqual">
      <formula>0</formula>
    </cfRule>
    <cfRule type="cellIs" dxfId="1497" priority="1757" operator="lessThan">
      <formula>0</formula>
    </cfRule>
    <cfRule type="cellIs" priority="1758" operator="greaterThanOrEqual">
      <formula>0</formula>
    </cfRule>
    <cfRule type="cellIs" dxfId="1496" priority="1759" operator="lessThan">
      <formula>0</formula>
    </cfRule>
    <cfRule type="cellIs" priority="1760" operator="greaterThanOrEqual">
      <formula>0</formula>
    </cfRule>
  </conditionalFormatting>
  <conditionalFormatting sqref="A2">
    <cfRule type="cellIs" dxfId="1495" priority="1273" operator="lessThan">
      <formula>0</formula>
    </cfRule>
    <cfRule type="cellIs" priority="1274" operator="greaterThanOrEqual">
      <formula>0</formula>
    </cfRule>
    <cfRule type="cellIs" priority="1275" operator="greaterThanOrEqual">
      <formula>0</formula>
    </cfRule>
    <cfRule type="cellIs" dxfId="1494" priority="1276" operator="lessThan">
      <formula>0</formula>
    </cfRule>
    <cfRule type="cellIs" dxfId="1493" priority="1277" operator="lessThan">
      <formula>0</formula>
    </cfRule>
    <cfRule type="cellIs" priority="1278" operator="greaterThanOrEqual">
      <formula>0</formula>
    </cfRule>
    <cfRule type="cellIs" priority="1279" operator="greaterThanOrEqual">
      <formula>0</formula>
    </cfRule>
    <cfRule type="cellIs" dxfId="1492" priority="1280" operator="lessThan">
      <formula>0</formula>
    </cfRule>
    <cfRule type="cellIs" priority="1281" operator="greaterThanOrEqual">
      <formula>0</formula>
    </cfRule>
    <cfRule type="cellIs" dxfId="1491" priority="1282" operator="lessThan">
      <formula>0</formula>
    </cfRule>
    <cfRule type="cellIs" priority="1283" operator="greaterThanOrEqual">
      <formula>0</formula>
    </cfRule>
  </conditionalFormatting>
  <conditionalFormatting sqref="C9">
    <cfRule type="cellIs" priority="665" operator="greaterThanOrEqual">
      <formula>0</formula>
    </cfRule>
    <cfRule type="cellIs" dxfId="1490" priority="664" operator="lessThan">
      <formula>0</formula>
    </cfRule>
    <cfRule type="cellIs" priority="663" operator="greaterThanOrEqual">
      <formula>0</formula>
    </cfRule>
  </conditionalFormatting>
  <conditionalFormatting sqref="E8">
    <cfRule type="cellIs" dxfId="1489" priority="516" operator="greaterThanOrEqual">
      <formula>0</formula>
    </cfRule>
    <cfRule type="cellIs" dxfId="1488" priority="515" operator="lessThan">
      <formula>0</formula>
    </cfRule>
    <cfRule type="cellIs" dxfId="1487" priority="514" operator="greaterThanOrEqual">
      <formula>0</formula>
    </cfRule>
    <cfRule type="cellIs" dxfId="1486" priority="513" operator="lessThan">
      <formula>0</formula>
    </cfRule>
    <cfRule type="cellIs" dxfId="1485" priority="512" operator="greaterThanOrEqual">
      <formula>0</formula>
    </cfRule>
    <cfRule type="cellIs" dxfId="1484" priority="511" operator="greaterThanOrEqual">
      <formula>0</formula>
    </cfRule>
    <cfRule type="cellIs" dxfId="1483" priority="510" operator="lessThan">
      <formula>0</formula>
    </cfRule>
    <cfRule type="cellIs" dxfId="1482" priority="509" operator="lessThan">
      <formula>0</formula>
    </cfRule>
    <cfRule type="cellIs" dxfId="1481" priority="508" operator="greaterThanOrEqual">
      <formula>0</formula>
    </cfRule>
    <cfRule type="cellIs" dxfId="1480" priority="507" operator="greaterThanOrEqual">
      <formula>0</formula>
    </cfRule>
    <cfRule type="cellIs" dxfId="1479" priority="506" operator="lessThan">
      <formula>0</formula>
    </cfRule>
    <cfRule type="cellIs" dxfId="1478" priority="505" operator="lessThan">
      <formula>0</formula>
    </cfRule>
    <cfRule type="cellIs" dxfId="1477" priority="504" operator="greaterThanOrEqual">
      <formula>0</formula>
    </cfRule>
    <cfRule type="cellIs" dxfId="1476" priority="503" operator="greaterThanOrEqual">
      <formula>0</formula>
    </cfRule>
    <cfRule type="cellIs" dxfId="1475" priority="502" operator="lessThan">
      <formula>0</formula>
    </cfRule>
    <cfRule type="cellIs" dxfId="1474" priority="501" operator="greaterThanOrEqual">
      <formula>0</formula>
    </cfRule>
    <cfRule type="cellIs" dxfId="1473" priority="500" operator="greaterThanOrEqual">
      <formula>0</formula>
    </cfRule>
    <cfRule type="cellIs" dxfId="1472" priority="499" operator="lessThan">
      <formula>0</formula>
    </cfRule>
    <cfRule type="cellIs" dxfId="1471" priority="498" operator="lessThan">
      <formula>0</formula>
    </cfRule>
    <cfRule type="cellIs" dxfId="1470" priority="497" operator="greaterThanOrEqual">
      <formula>0</formula>
    </cfRule>
    <cfRule type="cellIs" dxfId="1469" priority="496" operator="greaterThanOrEqual">
      <formula>0</formula>
    </cfRule>
    <cfRule type="cellIs" dxfId="1468" priority="495" operator="lessThan">
      <formula>0</formula>
    </cfRule>
    <cfRule type="cellIs" dxfId="1467" priority="494" operator="greaterThanOrEqual">
      <formula>0</formula>
    </cfRule>
    <cfRule type="cellIs" dxfId="1466" priority="493" operator="greaterThanOrEqual">
      <formula>0</formula>
    </cfRule>
    <cfRule type="cellIs" dxfId="1465" priority="492" operator="lessThan">
      <formula>0</formula>
    </cfRule>
    <cfRule type="cellIs" dxfId="1464" priority="491" operator="lessThan">
      <formula>0</formula>
    </cfRule>
    <cfRule type="cellIs" dxfId="1463" priority="490" operator="greaterThanOrEqual">
      <formula>0</formula>
    </cfRule>
    <cfRule type="cellIs" dxfId="1462" priority="489" operator="greaterThanOrEqual">
      <formula>0</formula>
    </cfRule>
    <cfRule type="cellIs" dxfId="1461" priority="488" operator="greaterThanOrEqual">
      <formula>0</formula>
    </cfRule>
    <cfRule type="cellIs" dxfId="1460" priority="487" operator="greaterThanOrEqual">
      <formula>0</formula>
    </cfRule>
    <cfRule type="cellIs" dxfId="1459" priority="486" operator="greaterThanOrEqual">
      <formula>0</formula>
    </cfRule>
  </conditionalFormatting>
  <conditionalFormatting sqref="J11">
    <cfRule type="cellIs" dxfId="1458" priority="294" operator="greaterThanOrEqual">
      <formula>0</formula>
    </cfRule>
    <cfRule type="cellIs" dxfId="1457" priority="293" operator="lessThan">
      <formula>0</formula>
    </cfRule>
    <cfRule type="cellIs" dxfId="1456" priority="292" operator="greaterThanOrEqual">
      <formula>0</formula>
    </cfRule>
    <cfRule type="cellIs" dxfId="1455" priority="29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Banco itaú</vt:lpstr>
      <vt:lpstr>Banco Caixa Econômica</vt:lpstr>
      <vt:lpstr>Banco do Brasil</vt:lpstr>
      <vt:lpstr>Consolidação de 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WAGNER</cp:lastModifiedBy>
  <dcterms:created xsi:type="dcterms:W3CDTF">2015-10-28T00:36:29Z</dcterms:created>
  <dcterms:modified xsi:type="dcterms:W3CDTF">2021-01-31T20:06:21Z</dcterms:modified>
</cp:coreProperties>
</file>